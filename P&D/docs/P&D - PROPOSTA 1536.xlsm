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1 - Backup 02-2025\0 - P&amp;D\Backup P&amp;D\0-P&amp;D Soluções Ind. e Manutenção\0-Orçamento\BAT\2 - PROJETO CHILLERS E TORRES RESFRIAMENTO\"/>
    </mc:Choice>
  </mc:AlternateContent>
  <xr:revisionPtr revIDLastSave="0" documentId="13_ncr:1_{01E3CE82-D381-4791-B7A4-1BE9A0B0CD5B}" xr6:coauthVersionLast="47" xr6:coauthVersionMax="47" xr10:uidLastSave="{00000000-0000-0000-0000-000000000000}"/>
  <bookViews>
    <workbookView xWindow="-108" yWindow="-108" windowWidth="23256" windowHeight="13176" firstSheet="1" activeTab="2" xr2:uid="{E2B3EE3D-3AEB-4691-9E46-DAF7262BCD97}"/>
  </bookViews>
  <sheets>
    <sheet name="Planilha2" sheetId="2" state="hidden" r:id="rId1"/>
    <sheet name="FORMULÁRIO" sheetId="1" r:id="rId2"/>
    <sheet name="SERVIÇOS" sheetId="3" r:id="rId3"/>
    <sheet name="COMISSÃO" sheetId="7" state="hidden" r:id="rId4"/>
    <sheet name="PRODUTOS" sheetId="4" r:id="rId5"/>
    <sheet name="Planilha1" sheetId="8" r:id="rId6"/>
    <sheet name="BASE IMPOSTO" sheetId="6" state="hidden" r:id="rId7"/>
  </sheets>
  <definedNames>
    <definedName name="_xleta.EXP" hidden="1" xlm="1">#NAME?</definedName>
    <definedName name="_xleta.SUM" hidden="1" xlm="1">#NAME?</definedName>
    <definedName name="COMISSÃO_MATERIAIS">COMISSÃO!$B$13</definedName>
    <definedName name="COMISSÃO_SERVIÇOS">COMISSÃO!$B$3</definedName>
    <definedName name="fator_margem_material">PRODUTOS!$I$94</definedName>
    <definedName name="fator_margem_serviço">SERVIÇOS!$I$121</definedName>
    <definedName name="lista_materiais">PRODUTOS!$J$56</definedName>
    <definedName name="margem_lucro_material">PRODUTOS!$J$98</definedName>
    <definedName name="margem_lucro_serviço">SERVIÇOS!$J$124</definedName>
    <definedName name="perc_margem_material">FORMULÁRIO!$D$41</definedName>
    <definedName name="perc_margem_serviço">FORMULÁRIO!$D$40</definedName>
    <definedName name="tipo_filtro_colab">SERVIÇOS!$B$17</definedName>
    <definedName name="título_colab">SERVIÇOS!$B$19</definedName>
    <definedName name="valor_total_proposta">SERVIÇOS!$J$136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3" i="4" l="1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12" i="4"/>
  <c r="J36" i="3"/>
  <c r="J19" i="3"/>
  <c r="G91" i="3"/>
  <c r="J91" i="3" s="1"/>
  <c r="J41" i="3"/>
  <c r="F40" i="3"/>
  <c r="M39" i="3"/>
  <c r="N39" i="3" s="1"/>
  <c r="H39" i="3"/>
  <c r="M38" i="3"/>
  <c r="N38" i="3" s="1"/>
  <c r="H38" i="3"/>
  <c r="M37" i="3"/>
  <c r="N37" i="3" s="1"/>
  <c r="H37" i="3"/>
  <c r="M35" i="3"/>
  <c r="N35" i="3" s="1"/>
  <c r="H35" i="3"/>
  <c r="M34" i="3"/>
  <c r="N34" i="3" s="1"/>
  <c r="H34" i="3"/>
  <c r="M33" i="3"/>
  <c r="N33" i="3" s="1"/>
  <c r="H33" i="3"/>
  <c r="H20" i="3"/>
  <c r="M20" i="3"/>
  <c r="N20" i="3" s="1"/>
  <c r="H21" i="3"/>
  <c r="M21" i="3"/>
  <c r="N21" i="3" s="1"/>
  <c r="H22" i="3"/>
  <c r="M22" i="3"/>
  <c r="N22" i="3" s="1"/>
  <c r="H23" i="3"/>
  <c r="H24" i="3"/>
  <c r="M24" i="3"/>
  <c r="N24" i="3" s="1"/>
  <c r="H25" i="3"/>
  <c r="H26" i="3"/>
  <c r="M26" i="3"/>
  <c r="N26" i="3" s="1"/>
  <c r="H27" i="3"/>
  <c r="H28" i="3"/>
  <c r="M28" i="3"/>
  <c r="N28" i="3" s="1"/>
  <c r="H29" i="3"/>
  <c r="M29" i="3"/>
  <c r="N29" i="3" s="1"/>
  <c r="H30" i="3"/>
  <c r="M30" i="3"/>
  <c r="N30" i="3" s="1"/>
  <c r="H31" i="3"/>
  <c r="M31" i="3"/>
  <c r="N31" i="3" s="1"/>
  <c r="H32" i="3"/>
  <c r="M32" i="3"/>
  <c r="N32" i="3" s="1"/>
  <c r="M27" i="3" l="1"/>
  <c r="N27" i="3" s="1"/>
  <c r="M25" i="3"/>
  <c r="N25" i="3" s="1"/>
  <c r="M23" i="3"/>
  <c r="N23" i="3" s="1"/>
  <c r="J90" i="3" l="1"/>
  <c r="G88" i="3"/>
  <c r="J88" i="3" s="1"/>
  <c r="G80" i="3"/>
  <c r="K2" i="1" l="1"/>
  <c r="A8" i="1"/>
  <c r="D23" i="1"/>
  <c r="U2" i="1"/>
  <c r="V2" i="1"/>
  <c r="W2" i="1"/>
  <c r="X2" i="1"/>
  <c r="Y2" i="1"/>
  <c r="T2" i="1"/>
  <c r="I125" i="3"/>
  <c r="C43" i="1"/>
  <c r="D21" i="1" l="1"/>
  <c r="J8" i="3" l="1"/>
  <c r="G23" i="3" s="1"/>
  <c r="G136" i="3"/>
  <c r="G32" i="3" l="1"/>
  <c r="J32" i="3" s="1"/>
  <c r="G25" i="3"/>
  <c r="J25" i="3" s="1"/>
  <c r="G20" i="3"/>
  <c r="J20" i="3" s="1"/>
  <c r="G38" i="3"/>
  <c r="G37" i="3"/>
  <c r="G39" i="3"/>
  <c r="G35" i="3"/>
  <c r="G34" i="3"/>
  <c r="G33" i="3"/>
  <c r="G29" i="3"/>
  <c r="J29" i="3" s="1"/>
  <c r="J23" i="3"/>
  <c r="G27" i="3"/>
  <c r="J27" i="3" s="1"/>
  <c r="G21" i="3"/>
  <c r="J21" i="3" s="1"/>
  <c r="G26" i="3"/>
  <c r="J26" i="3" s="1"/>
  <c r="G24" i="3"/>
  <c r="J24" i="3" s="1"/>
  <c r="G28" i="3"/>
  <c r="J28" i="3" s="1"/>
  <c r="G30" i="3"/>
  <c r="J30" i="3" s="1"/>
  <c r="G31" i="3"/>
  <c r="J31" i="3" s="1"/>
  <c r="G22" i="3"/>
  <c r="J22" i="3" s="1"/>
  <c r="G81" i="3"/>
  <c r="G82" i="3"/>
  <c r="G83" i="3"/>
  <c r="G79" i="3"/>
  <c r="D18" i="1"/>
  <c r="G96" i="4"/>
  <c r="H76" i="4"/>
  <c r="P38" i="3" l="1"/>
  <c r="J38" i="3"/>
  <c r="O38" i="3"/>
  <c r="P35" i="3"/>
  <c r="J35" i="3"/>
  <c r="O35" i="3"/>
  <c r="P39" i="3"/>
  <c r="J39" i="3"/>
  <c r="O39" i="3"/>
  <c r="P37" i="3"/>
  <c r="J37" i="3"/>
  <c r="O37" i="3"/>
  <c r="P33" i="3"/>
  <c r="J33" i="3"/>
  <c r="O33" i="3"/>
  <c r="J34" i="3"/>
  <c r="P34" i="3"/>
  <c r="O34" i="3"/>
  <c r="O20" i="3"/>
  <c r="P20" i="3"/>
  <c r="O30" i="3"/>
  <c r="P30" i="3"/>
  <c r="O32" i="3"/>
  <c r="P32" i="3"/>
  <c r="P25" i="3"/>
  <c r="O25" i="3"/>
  <c r="O29" i="3"/>
  <c r="P29" i="3"/>
  <c r="P26" i="3"/>
  <c r="O26" i="3"/>
  <c r="P28" i="3"/>
  <c r="O28" i="3"/>
  <c r="O27" i="3"/>
  <c r="P27" i="3"/>
  <c r="P21" i="3"/>
  <c r="O21" i="3"/>
  <c r="P31" i="3"/>
  <c r="O31" i="3"/>
  <c r="P23" i="3"/>
  <c r="O23" i="3"/>
  <c r="P22" i="3"/>
  <c r="O22" i="3"/>
  <c r="P24" i="3"/>
  <c r="O24" i="3"/>
  <c r="J56" i="4"/>
  <c r="P40" i="3" l="1"/>
  <c r="G58" i="3" s="1"/>
  <c r="O40" i="3"/>
  <c r="J40" i="3"/>
  <c r="J89" i="3"/>
  <c r="I6" i="6" l="1"/>
  <c r="I8" i="6" s="1"/>
  <c r="I9" i="6"/>
  <c r="D8" i="6"/>
  <c r="I5" i="6"/>
  <c r="I7" i="6" s="1"/>
  <c r="D5" i="6"/>
  <c r="D6" i="6" s="1"/>
  <c r="D7" i="6" l="1"/>
  <c r="D9" i="6" s="1"/>
  <c r="E15" i="6" s="1"/>
  <c r="I116" i="3" s="1"/>
  <c r="I10" i="6"/>
  <c r="J15" i="6" s="1"/>
  <c r="D8" i="3"/>
  <c r="J69" i="3"/>
  <c r="E16" i="6" l="1"/>
  <c r="I115" i="3"/>
  <c r="J16" i="6"/>
  <c r="D7" i="3"/>
  <c r="G98" i="3" l="1"/>
  <c r="J9" i="3"/>
  <c r="J97" i="3"/>
  <c r="J105" i="3"/>
  <c r="J102" i="3"/>
  <c r="J103" i="3"/>
  <c r="J104" i="3"/>
  <c r="J99" i="3"/>
  <c r="J92" i="3"/>
  <c r="J93" i="3" s="1"/>
  <c r="J70" i="3" l="1"/>
  <c r="J73" i="3"/>
  <c r="J68" i="3"/>
  <c r="J71" i="3"/>
  <c r="J72" i="3"/>
  <c r="J74" i="3"/>
  <c r="G59" i="3" l="1"/>
  <c r="J59" i="3" s="1"/>
  <c r="J58" i="3"/>
  <c r="F5" i="4"/>
  <c r="D5" i="4"/>
  <c r="D6" i="4"/>
  <c r="J76" i="4" l="1"/>
  <c r="J65" i="4"/>
  <c r="J64" i="4"/>
  <c r="J63" i="4"/>
  <c r="J62" i="4"/>
  <c r="J61" i="4"/>
  <c r="J60" i="4"/>
  <c r="J5" i="4"/>
  <c r="J101" i="3"/>
  <c r="J100" i="3"/>
  <c r="J67" i="3"/>
  <c r="J66" i="3"/>
  <c r="J52" i="3"/>
  <c r="J51" i="3"/>
  <c r="J50" i="3"/>
  <c r="F98" i="3"/>
  <c r="J75" i="3" l="1"/>
  <c r="J67" i="4"/>
  <c r="J54" i="3"/>
  <c r="H71" i="4" l="1"/>
  <c r="J71" i="4" s="1"/>
  <c r="J98" i="3" l="1"/>
  <c r="J106" i="3" s="1"/>
  <c r="J83" i="3"/>
  <c r="J82" i="3"/>
  <c r="J80" i="3"/>
  <c r="J81" i="3"/>
  <c r="J79" i="3"/>
  <c r="J60" i="3"/>
  <c r="J72" i="4"/>
  <c r="J84" i="3" l="1"/>
  <c r="J62" i="3"/>
  <c r="J2" i="1" l="1"/>
  <c r="A2" i="1"/>
  <c r="C2" i="1"/>
  <c r="D2" i="1"/>
  <c r="E2" i="1"/>
  <c r="F2" i="1"/>
  <c r="I2" i="1"/>
  <c r="M2" i="1"/>
  <c r="P2" i="1"/>
  <c r="Q2" i="1"/>
  <c r="B2" i="1"/>
  <c r="L2" i="1"/>
  <c r="J43" i="3" l="1"/>
  <c r="J44" i="3" s="1"/>
  <c r="J46" i="3" l="1"/>
  <c r="X154" i="3" l="1"/>
  <c r="W154" i="3" l="1"/>
  <c r="J78" i="4"/>
  <c r="J93" i="4" l="1"/>
  <c r="J94" i="4" l="1"/>
  <c r="J95" i="4" s="1"/>
  <c r="J125" i="3"/>
  <c r="I97" i="4" l="1"/>
  <c r="J127" i="3" s="1"/>
  <c r="J96" i="4"/>
  <c r="D25" i="1" s="1"/>
  <c r="S2" i="1"/>
  <c r="O2" i="1" l="1"/>
  <c r="J90" i="4"/>
  <c r="H13" i="7"/>
  <c r="J98" i="4"/>
  <c r="J128" i="3" a="1"/>
  <c r="J126" i="3"/>
  <c r="X156" i="3"/>
  <c r="W156" i="3" s="1"/>
  <c r="Z154" i="3" s="1"/>
  <c r="I14" i="7" l="1"/>
  <c r="I26" i="7"/>
  <c r="I15" i="7"/>
  <c r="I28" i="7"/>
  <c r="I23" i="7"/>
  <c r="I24" i="7"/>
  <c r="I27" i="7"/>
  <c r="I16" i="7"/>
  <c r="I17" i="7"/>
  <c r="I20" i="7"/>
  <c r="I21" i="7"/>
  <c r="I22" i="7"/>
  <c r="I25" i="7"/>
  <c r="I18" i="7"/>
  <c r="I19" i="7"/>
  <c r="J128" i="3"/>
  <c r="G13" i="7" s="1"/>
  <c r="E13" i="7"/>
  <c r="I13" i="7" l="1"/>
  <c r="H15" i="7" l="1"/>
  <c r="H14" i="7"/>
  <c r="H28" i="7"/>
  <c r="H25" i="7"/>
  <c r="H22" i="7"/>
  <c r="H16" i="7"/>
  <c r="H19" i="7"/>
  <c r="J129" i="3"/>
  <c r="H18" i="7" l="1"/>
  <c r="H20" i="7"/>
  <c r="H21" i="7"/>
  <c r="H24" i="7"/>
  <c r="H23" i="7"/>
  <c r="H27" i="7"/>
  <c r="H26" i="7"/>
  <c r="H17" i="7"/>
  <c r="B13" i="7" l="1"/>
  <c r="M35" i="7" s="1"/>
  <c r="M36" i="7" s="1"/>
  <c r="H110" i="3"/>
  <c r="J110" i="3" l="1"/>
  <c r="J111" i="3" s="1"/>
  <c r="J121" i="3" s="1"/>
  <c r="J122" i="3" s="1"/>
  <c r="D24" i="1" l="1"/>
  <c r="J115" i="3"/>
  <c r="J130" i="3"/>
  <c r="J116" i="3"/>
  <c r="E154" i="3"/>
  <c r="E157" i="3" s="1"/>
  <c r="E3" i="7"/>
  <c r="H3" i="7"/>
  <c r="R2" i="1"/>
  <c r="L116" i="3" l="1"/>
  <c r="L115" i="3"/>
  <c r="I4" i="7"/>
  <c r="I7" i="7"/>
  <c r="I9" i="7"/>
  <c r="I8" i="7"/>
  <c r="I10" i="7"/>
  <c r="I6" i="7"/>
  <c r="I5" i="7"/>
  <c r="J118" i="3"/>
  <c r="J123" i="3" s="1"/>
  <c r="J124" i="3" s="1"/>
  <c r="J136" i="3"/>
  <c r="D19" i="1" l="1"/>
  <c r="D42" i="1" s="1"/>
  <c r="J131" i="3"/>
  <c r="J132" i="3" s="1"/>
  <c r="G2" i="1" l="1"/>
  <c r="N2" i="1"/>
  <c r="G3" i="7"/>
  <c r="I3" i="7"/>
  <c r="H2" i="1"/>
  <c r="H8" i="7" l="1"/>
  <c r="H4" i="7"/>
  <c r="H9" i="7"/>
  <c r="H10" i="7"/>
  <c r="H5" i="7"/>
  <c r="H6" i="7"/>
  <c r="H7" i="7"/>
  <c r="B3" i="7" l="1"/>
  <c r="M32" i="7" s="1"/>
  <c r="M33" i="7" s="1"/>
  <c r="L38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Adriano Cruvinel</author>
  </authors>
  <commentList>
    <comment ref="H9" authorId="0" shapeId="0" xr:uid="{AF8BA4BD-1866-42F3-9257-B6B790B76BAC}">
      <text>
        <r>
          <rPr>
            <b/>
            <sz val="9"/>
            <color indexed="81"/>
            <rFont val="Segoe UI"/>
            <family val="2"/>
          </rPr>
          <t>Adriano Cruvinel:</t>
        </r>
        <r>
          <rPr>
            <sz val="9"/>
            <color indexed="81"/>
            <rFont val="Segoe UI"/>
            <family val="2"/>
          </rPr>
          <t xml:space="preserve">
Preencha abaixo com o número de dias trabalhados na obra</t>
        </r>
      </text>
    </comment>
    <comment ref="J115" authorId="0" shapeId="0" xr:uid="{19AAC304-BBD4-4BD8-B806-F78E68E20D33}">
      <text>
        <r>
          <rPr>
            <b/>
            <sz val="9"/>
            <color indexed="81"/>
            <rFont val="Segoe UI"/>
            <family val="2"/>
          </rPr>
          <t>Adriano Cruvinel:</t>
        </r>
        <r>
          <rPr>
            <sz val="9"/>
            <color indexed="81"/>
            <rFont val="Segoe UI"/>
            <family val="2"/>
          </rPr>
          <t xml:space="preserve">
era calculado do valor total serviços e materiais.
Alterei para serviços apenas</t>
        </r>
      </text>
    </comment>
    <comment ref="J116" authorId="0" shapeId="0" xr:uid="{63AF6DF8-9EDA-4C37-B646-4D8BA65DA6E4}">
      <text>
        <r>
          <rPr>
            <b/>
            <sz val="9"/>
            <color indexed="81"/>
            <rFont val="Segoe UI"/>
            <family val="2"/>
          </rPr>
          <t>Adriano Cruvinel:</t>
        </r>
        <r>
          <rPr>
            <sz val="9"/>
            <color indexed="81"/>
            <rFont val="Segoe UI"/>
            <family val="2"/>
          </rPr>
          <t xml:space="preserve">
Adriano Cruvinel:
era calculado do valor total serviços e materiais.
Alterei para serviços apenas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tc={3ACD70E3-7286-452E-8267-6B1CC7C51452}</author>
    <author>tc={F3CA4DC3-F6C4-402A-BE4B-F9EB9D04709F}</author>
    <author>tc={3E3F81A8-C5C8-4485-84BE-6940AD07307F}</author>
    <author>tc={AB424A5D-3239-40CC-B2BA-4BBDD07E9720}</author>
  </authors>
  <commentList>
    <comment ref="C5" authorId="0" shapeId="0" xr:uid="{3ACD70E3-7286-452E-8267-6B1CC7C51452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% PRESUNÇÃO PARA SERVIÇOS FORA EMPRE</t>
      </text>
    </comment>
    <comment ref="H5" authorId="1" shapeId="0" xr:uid="{F3CA4DC3-F6C4-402A-BE4B-F9EB9D04709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% PRESUNÇÃO CSLL
Responder:
    ok</t>
      </text>
    </comment>
    <comment ref="C8" authorId="2" shapeId="0" xr:uid="{3E3F81A8-C5C8-4485-84BE-6940AD07307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0,65% - pis
3% - COFINS</t>
      </text>
    </comment>
    <comment ref="H9" authorId="3" shapeId="0" xr:uid="{AB424A5D-3239-40CC-B2BA-4BBDD07E972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0,65% - pis
3% - COFINS</t>
      </text>
    </comment>
  </commentList>
</comments>
</file>

<file path=xl/sharedStrings.xml><?xml version="1.0" encoding="utf-8"?>
<sst xmlns="http://schemas.openxmlformats.org/spreadsheetml/2006/main" count="531" uniqueCount="353">
  <si>
    <t>#NOME_LOCADOR</t>
  </si>
  <si>
    <t>#NACIONALIDADE_LOCADOR</t>
  </si>
  <si>
    <t>#PROFISSÃO_LOCADOR</t>
  </si>
  <si>
    <t>#ESTADOCIVIL_LOCADOR</t>
  </si>
  <si>
    <t>#RG_LOCADOR</t>
  </si>
  <si>
    <t>#ENTIDADE_LOCADOR</t>
  </si>
  <si>
    <t>#CPF_LOCADOR</t>
  </si>
  <si>
    <t>#ENDEREÇO_LOCADOR</t>
  </si>
  <si>
    <t>#NOME_LOCATÁRIO</t>
  </si>
  <si>
    <t>#NACIONALIDADE_LOCATÁRIO</t>
  </si>
  <si>
    <t>#PROFISSÃO_LOCATÁRIO</t>
  </si>
  <si>
    <t>#ESTADOCIVIL_LOCATÁRIO</t>
  </si>
  <si>
    <t>#ENTIDADE</t>
  </si>
  <si>
    <t>#CPF_LOCATÁRIO</t>
  </si>
  <si>
    <t>#ENDEREÇO_LOCATÁRIO</t>
  </si>
  <si>
    <t>#NUM_APTO</t>
  </si>
  <si>
    <t>#EDIFICIO_APTO</t>
  </si>
  <si>
    <t>#RUA_APTO</t>
  </si>
  <si>
    <t>#NUM_RUA_APTO</t>
  </si>
  <si>
    <t>#CIDADE_APTO</t>
  </si>
  <si>
    <t>#DATA_INICIO</t>
  </si>
  <si>
    <r>
      <t>#</t>
    </r>
    <r>
      <rPr>
        <b/>
        <sz val="11"/>
        <color rgb="FF000000"/>
        <rFont val="Arial"/>
        <family val="2"/>
      </rPr>
      <t>DATA_FIM</t>
    </r>
  </si>
  <si>
    <t>#VALOR_ALUGUEL</t>
  </si>
  <si>
    <t>#DIA_VENCIMENTO</t>
  </si>
  <si>
    <t>#DIA_CONDOMINIO</t>
  </si>
  <si>
    <t>#DIA_ATRASO</t>
  </si>
  <si>
    <t>#PERCENTUAL_MULTA</t>
  </si>
  <si>
    <t>#TESTEMUNHA1</t>
  </si>
  <si>
    <t>#TESTEMUNHA2</t>
  </si>
  <si>
    <t>#DIA</t>
  </si>
  <si>
    <t>#MÊS</t>
  </si>
  <si>
    <t>#ANO</t>
  </si>
  <si>
    <t>#NUMERODAPROPOSTA</t>
  </si>
  <si>
    <t>#NOMEDOCLIENTE</t>
  </si>
  <si>
    <t>#EMAILDOCLIENTE</t>
  </si>
  <si>
    <t>#ESCOPO</t>
  </si>
  <si>
    <t>#PRAZOENTREGA</t>
  </si>
  <si>
    <t>#VALORPROPOSTA</t>
  </si>
  <si>
    <t>#VALOREST</t>
  </si>
  <si>
    <t>#CLIENTE</t>
  </si>
  <si>
    <t>Número da Proposta</t>
  </si>
  <si>
    <t>Nome do Cliente</t>
  </si>
  <si>
    <t>E-mail Cliente</t>
  </si>
  <si>
    <t>Escopo da Proposta</t>
  </si>
  <si>
    <t>Prazo de Entrega</t>
  </si>
  <si>
    <t>Valor de Proposta</t>
  </si>
  <si>
    <t>Dia</t>
  </si>
  <si>
    <t>Mês</t>
  </si>
  <si>
    <t>Ano</t>
  </si>
  <si>
    <t>Cliente</t>
  </si>
  <si>
    <t>SERVIÇOS</t>
  </si>
  <si>
    <t xml:space="preserve">Proposta: </t>
  </si>
  <si>
    <r>
      <rPr>
        <b/>
        <sz val="9"/>
        <color theme="1"/>
        <rFont val="Arial"/>
        <family val="2"/>
      </rPr>
      <t>DATA :</t>
    </r>
    <r>
      <rPr>
        <sz val="9"/>
        <color theme="1"/>
        <rFont val="Arial"/>
        <family val="2"/>
      </rPr>
      <t xml:space="preserve"> </t>
    </r>
  </si>
  <si>
    <t xml:space="preserve">OBJETO : </t>
  </si>
  <si>
    <t>DIAS TRAB.</t>
  </si>
  <si>
    <t>MESES</t>
  </si>
  <si>
    <t xml:space="preserve">DEMONSTRATIVO DA COMPOSIÇÃO DE PREÇOS </t>
  </si>
  <si>
    <t>1. CUSTOS DIRETOS</t>
  </si>
  <si>
    <t xml:space="preserve">1.1  MÃO-DE-OBRA </t>
  </si>
  <si>
    <t>CARGO / FUNÇÃO</t>
  </si>
  <si>
    <t>Quant</t>
  </si>
  <si>
    <t>Dias</t>
  </si>
  <si>
    <t>Diária</t>
  </si>
  <si>
    <t>HE</t>
  </si>
  <si>
    <t>Total por função</t>
  </si>
  <si>
    <t>Salario mensal</t>
  </si>
  <si>
    <t>GERENTE DE ENGENHARIA E MANUTENÇÃO</t>
  </si>
  <si>
    <t>COORDENADOR DE ENGENHARIA E MANUTENÇÃO</t>
  </si>
  <si>
    <t>ENGENHEIRO DE AUTOMAÇÃO</t>
  </si>
  <si>
    <t>ENGENHEIRO ELETRICISTA/PROJETOS</t>
  </si>
  <si>
    <t>SUPERVISOR DE MANUTENÇÃO ELÉTRICA</t>
  </si>
  <si>
    <t>TÉCNICO EM AUTOMAÇÃO</t>
  </si>
  <si>
    <t>TÉCNICO EM INSTRUMENTAÇÃO</t>
  </si>
  <si>
    <t>TÉCNICO DE SEGURANÇA DO TRABALHO</t>
  </si>
  <si>
    <t>TÉCNICO REDES INDUSTRIAIS (FIBRA ÓPTICA)</t>
  </si>
  <si>
    <t>ENCARREGADO ELÉTRICA</t>
  </si>
  <si>
    <t xml:space="preserve">ELETRICISTA INDUSTRIAL </t>
  </si>
  <si>
    <t>TOTAL  MOD</t>
  </si>
  <si>
    <t>SUBTOTAL    A</t>
  </si>
  <si>
    <t>SUBTOTAL    B</t>
  </si>
  <si>
    <t>TIPO</t>
  </si>
  <si>
    <t>Valor Uni</t>
  </si>
  <si>
    <t>Valor Total</t>
  </si>
  <si>
    <t>MOBILIZAÇÃO</t>
  </si>
  <si>
    <t>DESMOBILIZAÇÃO</t>
  </si>
  <si>
    <t>HOTEL</t>
  </si>
  <si>
    <t>CAFÉ DA MANHÃ</t>
  </si>
  <si>
    <t/>
  </si>
  <si>
    <t>ALMOÇO</t>
  </si>
  <si>
    <t>JANTAR</t>
  </si>
  <si>
    <t>Valor Unid</t>
  </si>
  <si>
    <t>Plataforma elevatória</t>
  </si>
  <si>
    <t>Frete PTA</t>
  </si>
  <si>
    <t>Uni.</t>
  </si>
  <si>
    <t>SV</t>
  </si>
  <si>
    <t xml:space="preserve">TIPO </t>
  </si>
  <si>
    <t>Valor Unit</t>
  </si>
  <si>
    <t>TIPO / UNI</t>
  </si>
  <si>
    <t>Período</t>
  </si>
  <si>
    <t>SEGURO GARANTIA</t>
  </si>
  <si>
    <t>SEGURO DE VIDA COLETIVO</t>
  </si>
  <si>
    <t>CREA - ART</t>
  </si>
  <si>
    <t>PROJETO ELÉTRICO - VALOR POR FOLHA</t>
  </si>
  <si>
    <t>PROJETO AUTOMAÇÃO/INSTRUMENTAÇÃO P&amp;ID  - VALOR POR FOLHA</t>
  </si>
  <si>
    <t>CERTIFICAÇÃO REDE FIBRA ÓPTICA - VALOR POR LANCE DE REDE</t>
  </si>
  <si>
    <t>TOTAL DOS CUSTOS DIRETOS ( 1.1 a 1.8 )</t>
  </si>
  <si>
    <t>ALÍQUOTA (%)</t>
  </si>
  <si>
    <t xml:space="preserve">BASE DE CALCULO </t>
  </si>
  <si>
    <t>TOTAL</t>
  </si>
  <si>
    <t>2.1 - ADMINISTRAÇÃO CENTRAL</t>
  </si>
  <si>
    <t>TOTAL DOS CUSTOS INDIRETOS S/ TOTAL DOS CUSTOS DIRETOS</t>
  </si>
  <si>
    <t>LUCRO PRESUMIDO</t>
  </si>
  <si>
    <t>INCIDENCIA</t>
  </si>
  <si>
    <t>PIS (VALOR TOTAL DA NOTA)</t>
  </si>
  <si>
    <t>COFINS (VALOR TOTAL DA NOTA)</t>
  </si>
  <si>
    <t>ISS - (CNAE 7.01, 7.02, 7.03)</t>
  </si>
  <si>
    <t>ISS - (CNAE 14.01, 14.02, 14.06)</t>
  </si>
  <si>
    <t xml:space="preserve">TOTAL DE IMPOSTOS INCIDENTES S/ FATURAMENTO  </t>
  </si>
  <si>
    <t>CARTÃO ALIMENTAÇÃO</t>
  </si>
  <si>
    <t>Lucro liquido em R$</t>
  </si>
  <si>
    <t>VALORES PADRÃO PARA LUCRO LIQUIDO</t>
  </si>
  <si>
    <t>Tipo do serviço</t>
  </si>
  <si>
    <t>PADRÃO</t>
  </si>
  <si>
    <t>MINIMO</t>
  </si>
  <si>
    <t>SERVIÇOS GERAIS DE ELÉTRICA</t>
  </si>
  <si>
    <t>* Em caso de processos grandes consultar gerencia</t>
  </si>
  <si>
    <t>SERVIÇOS EM MÉDIA TENSÃO</t>
  </si>
  <si>
    <t>Margem</t>
  </si>
  <si>
    <t>EMENDA FIBRAS</t>
  </si>
  <si>
    <t>H.H DE ELETRICISTA INDUSTRIAL</t>
  </si>
  <si>
    <t>PRODUTOS OU INDUSTRIALIZAÇÃO</t>
  </si>
  <si>
    <t>Item.</t>
  </si>
  <si>
    <t>Descrição</t>
  </si>
  <si>
    <t>Quantidade</t>
  </si>
  <si>
    <t xml:space="preserve">Ref. Item </t>
  </si>
  <si>
    <t>TOTAL DE MATERIAIS FORNECIDOS E APLICADOS NA OBRA</t>
  </si>
  <si>
    <t>FRETE DO PRODUTO NA COMPRA</t>
  </si>
  <si>
    <t>FRETE DO PRODUTO PARA ENTREGA AO CLIENTE</t>
  </si>
  <si>
    <t>EMBALAGEM ESPECIAL</t>
  </si>
  <si>
    <t>NECESSIDADE DE MOVIMENTAÇÃO ESPECIAL NA ENTREGA</t>
  </si>
  <si>
    <t>SELEÇÃO DO IMPOSTO</t>
  </si>
  <si>
    <t>% IMPOSTO</t>
  </si>
  <si>
    <t>REVENDA (PRODUTO COMPRADO DO FORNECEDOR E PASSADO AO CLIENTE)</t>
  </si>
  <si>
    <t xml:space="preserve"> IMPOSTOS FEDERAIS, ESTADUAIS E MUNICIPAIS</t>
  </si>
  <si>
    <t>INDUSTRIALIZAÇÃO (PRODUTO FABRICADO NA P&amp;D)</t>
  </si>
  <si>
    <t>CSLL (SOBRE A PRESUNÇÃO DO LUCRO = 1,08% SOBRE 12% DO VALOR PRESUMIDO COMO LUCRO)</t>
  </si>
  <si>
    <t>IRPJ  (SOBRE A PRESUNÇÃO DO LUCRO = 1,2% SOBRE 8% DO VALOR PRESUMIDO COMO LUCRO)</t>
  </si>
  <si>
    <t>ICMS</t>
  </si>
  <si>
    <t>IPI</t>
  </si>
  <si>
    <t>Custo total de Produtos</t>
  </si>
  <si>
    <t>Total Produtos</t>
  </si>
  <si>
    <t>#VALORSERVIÇOS</t>
  </si>
  <si>
    <t>#VALORMATERIAIS</t>
  </si>
  <si>
    <t>#SERVIÇOSVALOREST</t>
  </si>
  <si>
    <t>#MATERIAISVALOREST</t>
  </si>
  <si>
    <t>Valor para Serviços</t>
  </si>
  <si>
    <t>Valor Para Materiais</t>
  </si>
  <si>
    <t>MATERIAIS</t>
  </si>
  <si>
    <t>COMISSÃO</t>
  </si>
  <si>
    <t>Quant.</t>
  </si>
  <si>
    <t>SUPERVISOR DE PLANEJAMENTO</t>
  </si>
  <si>
    <t>CALDEIREIRO</t>
  </si>
  <si>
    <t xml:space="preserve">ADICIONAL DE TRANSFERÊNCIA (30%) </t>
  </si>
  <si>
    <t>Habilitar</t>
  </si>
  <si>
    <t>Não</t>
  </si>
  <si>
    <t>Container</t>
  </si>
  <si>
    <t>Banheiro químico</t>
  </si>
  <si>
    <t>Tenda de 5m</t>
  </si>
  <si>
    <t>Andaime</t>
  </si>
  <si>
    <t>Munck</t>
  </si>
  <si>
    <t>Bobcat</t>
  </si>
  <si>
    <t>UNIMED</t>
  </si>
  <si>
    <t>AJUDA COMBUSTIVEL</t>
  </si>
  <si>
    <t>CUSTOS COM EPI'S</t>
  </si>
  <si>
    <t>PARTICIPAÇÃO DE LUCROS</t>
  </si>
  <si>
    <t>Custo</t>
  </si>
  <si>
    <t>LAUDO SPDA</t>
  </si>
  <si>
    <t>LAUDO ATERRAMENTO</t>
  </si>
  <si>
    <t>RELATÓRIO DE ANÁLISE DE ENERGIA</t>
  </si>
  <si>
    <t>Mobilização</t>
  </si>
  <si>
    <t>Compra de Materiais</t>
  </si>
  <si>
    <t>Entrega de Materiais</t>
  </si>
  <si>
    <t>#MOBILIZAÇÃO</t>
  </si>
  <si>
    <t>#COMPRA-MATERIAIS</t>
  </si>
  <si>
    <t>#ENTREGA-MATERIAIS</t>
  </si>
  <si>
    <t>#RESERVA1</t>
  </si>
  <si>
    <t>#CIDADE-ESTADO</t>
  </si>
  <si>
    <t>Cidade/Estado</t>
  </si>
  <si>
    <t>Uberaba/MG</t>
  </si>
  <si>
    <r>
      <t>DATA INICIAL :</t>
    </r>
    <r>
      <rPr>
        <sz val="9"/>
        <color theme="1"/>
        <rFont val="Arial"/>
        <family val="2"/>
      </rPr>
      <t xml:space="preserve"> </t>
    </r>
  </si>
  <si>
    <t>Frete Container</t>
  </si>
  <si>
    <t>Imediato</t>
  </si>
  <si>
    <t>TÉCNICO EM ELÉTRICA/PROJETISTA</t>
  </si>
  <si>
    <t>Não se aplica.</t>
  </si>
  <si>
    <r>
      <t>DATA FINAL   :</t>
    </r>
    <r>
      <rPr>
        <sz val="9"/>
        <color theme="1"/>
        <rFont val="Arial"/>
        <family val="2"/>
      </rPr>
      <t xml:space="preserve"> </t>
    </r>
  </si>
  <si>
    <t>SELECIONE O TIPO DE ORÇAMENTO</t>
  </si>
  <si>
    <t>EMPREITADA GLOBAL</t>
  </si>
  <si>
    <t xml:space="preserve">EMPREITADA GLOBAL    </t>
  </si>
  <si>
    <t>SERVIÇOS SEM MATERIAIS</t>
  </si>
  <si>
    <t>Código Emissão Nota</t>
  </si>
  <si>
    <t>Descrição do tipo de serviço</t>
  </si>
  <si>
    <t>Valor R$</t>
  </si>
  <si>
    <t>PRESTAÇÃO DE SERVIÇOS SEM FORNECIMENTO DE MATERIAIS</t>
  </si>
  <si>
    <t xml:space="preserve">BASE DE CÁCULO </t>
  </si>
  <si>
    <t>CSLL ALIQUOTA</t>
  </si>
  <si>
    <t>IRPJ ALÍQUITA</t>
  </si>
  <si>
    <t>BASE DE CÁCULO IRPJ</t>
  </si>
  <si>
    <t>BASE DE CÁLCULO DA CSLL</t>
  </si>
  <si>
    <t>CSLL ALIQUOTA / IMPOSTO</t>
  </si>
  <si>
    <t>IRPJ ALÍQUITA / IMPOSTO</t>
  </si>
  <si>
    <t>Empreitada - Com fornecimento de material</t>
  </si>
  <si>
    <t>Serviço de engenharia - sem material</t>
  </si>
  <si>
    <t>ISSQN - 2 A 5%</t>
  </si>
  <si>
    <t>Retenção do INSS</t>
  </si>
  <si>
    <t>Todo imposto retido na fonte é abatido na apuração mensal</t>
  </si>
  <si>
    <t>PINTOR INDUSTRIAL</t>
  </si>
  <si>
    <t>Custo da Hora sem impostos</t>
  </si>
  <si>
    <t>Hora Extra por função</t>
  </si>
  <si>
    <t>Unidade</t>
  </si>
  <si>
    <t>Valor para exemplo</t>
  </si>
  <si>
    <t>Total Impostos</t>
  </si>
  <si>
    <t>PIS + COFINS</t>
  </si>
  <si>
    <t>Valor de impostos sobre a nota fiscal</t>
  </si>
  <si>
    <t>%</t>
  </si>
  <si>
    <t>Valor (R$)</t>
  </si>
  <si>
    <t>Imposto</t>
  </si>
  <si>
    <t>Valor H.H</t>
  </si>
  <si>
    <t>Valor diária</t>
  </si>
  <si>
    <t>ENGENHEIRO PROJETOS ELÉTRICOS</t>
  </si>
  <si>
    <t>TRANSPORTE</t>
  </si>
  <si>
    <t>PEDÁGIOS</t>
  </si>
  <si>
    <t>KM</t>
  </si>
  <si>
    <t>UM</t>
  </si>
  <si>
    <t>KM RODADO</t>
  </si>
  <si>
    <t>Possui ?</t>
  </si>
  <si>
    <t>EMPREITADA GLOBAL 07.02</t>
  </si>
  <si>
    <t>As linhas da cor VERDE deverão ser avaliadas para preenchimento, pois estas não se enquadram em padrões para orçamento.</t>
  </si>
  <si>
    <t>ELETRICISTA INDUSTRIAL SENIOR</t>
  </si>
  <si>
    <r>
      <t>ENCARGOS SOCIAIS (73%) S/ SUBTOTAL B (</t>
    </r>
    <r>
      <rPr>
        <b/>
        <sz val="8"/>
        <color theme="1"/>
        <rFont val="Arial"/>
        <family val="2"/>
      </rPr>
      <t>PERICULOSIDADE + INSS + FGTS</t>
    </r>
    <r>
      <rPr>
        <sz val="8"/>
        <color theme="1"/>
        <rFont val="Arial"/>
        <family val="2"/>
      </rPr>
      <t>)</t>
    </r>
  </si>
  <si>
    <t>VALOR (R$)</t>
  </si>
  <si>
    <t>PERCENTUAL</t>
  </si>
  <si>
    <t>QUADROS ELÉTRICOS</t>
  </si>
  <si>
    <t>Tipo de Venda</t>
  </si>
  <si>
    <t>VALORES PADRÃO PARA LUCRO LIQUIDO DE SERVIÇOS</t>
  </si>
  <si>
    <t>MÃO DE OBRA DE QUADROS ELÉTRICOS</t>
  </si>
  <si>
    <t>MATERIAIS INDUSTRIALIZADOS</t>
  </si>
  <si>
    <t>MATERIAIS APENAS REVENDA</t>
  </si>
  <si>
    <t>6.1 - PRAZO DE PAGAMENTO</t>
  </si>
  <si>
    <t>MATERIAIS ESPECIAIS E IMPORTADOS</t>
  </si>
  <si>
    <t>% LUCRO</t>
  </si>
  <si>
    <t>Imposto total da proposta</t>
  </si>
  <si>
    <t>1  MÃO-DE-OBRA DIRETA - HORAS NORMAIS</t>
  </si>
  <si>
    <t>2  HOSPEDAGENS</t>
  </si>
  <si>
    <t>3  ALIMENTAÇÃO</t>
  </si>
  <si>
    <t>4  LOCAÇÃO DE MÁQUINAS E EQUIPAMENTOS</t>
  </si>
  <si>
    <t>5  BENEFICIOS</t>
  </si>
  <si>
    <t>6 OUTROS CUSTOS</t>
  </si>
  <si>
    <t>7  OUTROS CUSTOS DIRETOS E INDIRETOS</t>
  </si>
  <si>
    <t>8 CUSTOS INDIRETOS CALCULADO SOBRE OS CUSTOS DIRETOS</t>
  </si>
  <si>
    <t>9 IMPOSTOS INCIDENTES SOBRE O FATURAMENTO</t>
  </si>
  <si>
    <t>10 PREÇO TOTAL PARA FATURAMENTO</t>
  </si>
  <si>
    <t>VALOR TOTAL DA PROPOSTA (R$)</t>
  </si>
  <si>
    <t>TÉCNICO DE AUTOMAÇÃO</t>
  </si>
  <si>
    <t>ENGENHEIRO DE AUTOMAÇÃO INDUSTRIAL</t>
  </si>
  <si>
    <t>1  LISTA DE MATERIAIS</t>
  </si>
  <si>
    <t xml:space="preserve">2  OUTROS CUSTOS </t>
  </si>
  <si>
    <t xml:space="preserve">3 CUSTOS INDIRETOS </t>
  </si>
  <si>
    <t>4 NATURAZA DA OPERAÇÃO DE VENDA</t>
  </si>
  <si>
    <t>5 DISCRIMINAÇÃO DOS IMPOSTOS</t>
  </si>
  <si>
    <t>6 PREÇO TOTAL PARA FATURAMENTO</t>
  </si>
  <si>
    <t>Total Impostos sobre faturamento</t>
  </si>
  <si>
    <t xml:space="preserve"> </t>
  </si>
  <si>
    <t xml:space="preserve"> Prazo da Obra :</t>
  </si>
  <si>
    <t>Diárias
Trabalhadas</t>
  </si>
  <si>
    <t>Diárias
Corridas</t>
  </si>
  <si>
    <t>Total</t>
  </si>
  <si>
    <t>Serviços</t>
  </si>
  <si>
    <t>Materiais</t>
  </si>
  <si>
    <t>&gt;20</t>
  </si>
  <si>
    <t>R$</t>
  </si>
  <si>
    <t>25 a 40</t>
  </si>
  <si>
    <t>&gt;40</t>
  </si>
  <si>
    <t>&lt;20</t>
  </si>
  <si>
    <t>20 a 40</t>
  </si>
  <si>
    <t>42-49</t>
  </si>
  <si>
    <t>&gt;50</t>
  </si>
  <si>
    <t>&gt;45</t>
  </si>
  <si>
    <t>&gt;35</t>
  </si>
  <si>
    <t>&gt;30</t>
  </si>
  <si>
    <t>42 a 49</t>
  </si>
  <si>
    <t>VALOR</t>
  </si>
  <si>
    <t>MARGEM</t>
  </si>
  <si>
    <t>Margem =&gt;</t>
  </si>
  <si>
    <t>Valor Nota =&gt;</t>
  </si>
  <si>
    <t>maio</t>
  </si>
  <si>
    <t>Marg. Serviços</t>
  </si>
  <si>
    <t>Marg. Materiais</t>
  </si>
  <si>
    <t>BASE DE CÁLCULO</t>
  </si>
  <si>
    <t>Imposto(%)</t>
  </si>
  <si>
    <t>SERVIÇOS-TOTAL =&gt;</t>
  </si>
  <si>
    <t>LUCRO SERVIÇOS =&gt;</t>
  </si>
  <si>
    <t>MATERIAL-TOTAL =&gt;</t>
  </si>
  <si>
    <t>LUCRO-MATERIAL =&gt;</t>
  </si>
  <si>
    <t>MARGEM LUCRO =&gt;</t>
  </si>
  <si>
    <t>SERVIÇOS+MATERIAIS</t>
  </si>
  <si>
    <t>LUCRO TOTAL =&gt;</t>
  </si>
  <si>
    <t>MARGEM TOTAL =&gt;</t>
  </si>
  <si>
    <t xml:space="preserve">VALOR TOTAL DA PROPOSTA </t>
  </si>
  <si>
    <t>Comissão =&gt; Materiais</t>
  </si>
  <si>
    <t>Comissão =&gt; Serviços</t>
  </si>
  <si>
    <t>Comissão</t>
  </si>
  <si>
    <t>Materiais - Tipo  =&gt;</t>
  </si>
  <si>
    <t xml:space="preserve">                           TIPO
(Ter atenção ao selecionar este item)</t>
  </si>
  <si>
    <t>MATERIAL - PRAZO DE PAGAMENTO =&gt;</t>
  </si>
  <si>
    <t>SERVIÇOS-PRAZO DE PAGAMENTO =&gt;</t>
  </si>
  <si>
    <t xml:space="preserve">TOTAL DE IMPOSTOS INCIDENTES S/ FATURAMENTO =&gt;  </t>
  </si>
  <si>
    <t>TOTAL =&gt;</t>
  </si>
  <si>
    <r>
      <rPr>
        <u/>
        <sz val="12"/>
        <color theme="1"/>
        <rFont val="Calibri"/>
        <family val="2"/>
        <scheme val="minor"/>
      </rPr>
      <t>MATERIAL</t>
    </r>
    <r>
      <rPr>
        <sz val="12"/>
        <color theme="1"/>
        <rFont val="Calibri"/>
        <family val="2"/>
        <scheme val="minor"/>
      </rPr>
      <t xml:space="preserve">
SERVIÇO</t>
    </r>
  </si>
  <si>
    <t>2 dias após fechamento da proposta.</t>
  </si>
  <si>
    <t>de 10 a 45 dias após aquisição.</t>
  </si>
  <si>
    <t>Título da Proposta</t>
  </si>
  <si>
    <t>Nome do arquivo</t>
  </si>
  <si>
    <t>#TITULODAPROPOSTA</t>
  </si>
  <si>
    <t>#RESERVA2</t>
  </si>
  <si>
    <t>#RESERVA3</t>
  </si>
  <si>
    <t>#RESERVA4</t>
  </si>
  <si>
    <t>#RESERVA5</t>
  </si>
  <si>
    <t>#RESERVA6</t>
  </si>
  <si>
    <t>#NOMEDOARQUIVO</t>
  </si>
  <si>
    <t xml:space="preserve"> - rev.1</t>
  </si>
  <si>
    <t>Coluna1</t>
  </si>
  <si>
    <t>Coluna2</t>
  </si>
  <si>
    <t>Coluna3</t>
  </si>
  <si>
    <t>FABRICAÇÃO DE PAINÉIS</t>
  </si>
  <si>
    <t>Mont.Painel</t>
  </si>
  <si>
    <t>Mont.Infra</t>
  </si>
  <si>
    <t>ENGENHEIRO ELETRICISTA/PROJETOS'</t>
  </si>
  <si>
    <t>TÉCNICO EM ELÉTRICA/PROJETISTA'</t>
  </si>
  <si>
    <t>ELETRICISTA FABRICAÇÃO DE PAINÉIS'</t>
  </si>
  <si>
    <t>Autom.</t>
  </si>
  <si>
    <t>MÃO OBRA GERAL</t>
  </si>
  <si>
    <t>Tudo</t>
  </si>
  <si>
    <t>trinta e nove mil reais</t>
  </si>
  <si>
    <t>Sim</t>
  </si>
  <si>
    <t>VISITA TÉCNICA PARA LEVANTAMENTO DE DADOS</t>
  </si>
  <si>
    <t>Prazos em dias</t>
  </si>
  <si>
    <t>20 dias após receber o pedido de compras</t>
  </si>
  <si>
    <t>Projetos Elétricos</t>
  </si>
  <si>
    <t>30 dias</t>
  </si>
  <si>
    <t>Projetos Automação</t>
  </si>
  <si>
    <t>75 dias</t>
  </si>
  <si>
    <t xml:space="preserve">Entrega total </t>
  </si>
  <si>
    <t>120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</si>
</sst>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4" formatCode="_-&quot;R$&quot;\ * #,##0.00_-;\-&quot;R$&quot;\ * #,##0.00_-;_-&quot;R$&quot;\ * &quot;-&quot;??_-;_-@_-"/>
    <numFmt numFmtId="164" formatCode="&quot;R$&quot;#,##0.00_);[Red]\(&quot;R$&quot;#,##0.00\)"/>
    <numFmt numFmtId="165" formatCode="_(&quot;R$&quot;* #,##0.00_);_(&quot;R$&quot;* \(#,##0.00\);_(&quot;R$&quot;* &quot;-&quot;??_);_(@_)"/>
    <numFmt numFmtId="166" formatCode="&quot;R$&quot;#,##0.00_);\(&quot;R$&quot;#,##0.00\)"/>
    <numFmt numFmtId="167" formatCode="[$-F800]dddd\,\ mmmm\ dd\,\ yyyy"/>
    <numFmt numFmtId="168" formatCode="#,##0.0"/>
    <numFmt numFmtId="169" formatCode="_(* #,##0.00_);_(* \(#,##0.00\);_(* &quot;-&quot;??_);_(@_)"/>
    <numFmt numFmtId="170" formatCode="_-&quot;R$&quot;\ * #,##0.00_-;\-&quot;R$&quot;\ * #,##0.00_-;_-&quot;R$&quot;\ * &quot;-&quot;??_-;_-@"/>
    <numFmt numFmtId="171" formatCode="0.0"/>
    <numFmt numFmtId="172" formatCode="0.0%"/>
    <numFmt numFmtId="173" formatCode="0.00000000%"/>
    <numFmt numFmtId="174" formatCode="_-[$R$-416]\ * #,##0.00_-;\-[$R$-416]\ * #,##0.00_-;_-[$R$-416]\ * &quot;-&quot;??_-;_-@_-"/>
    <numFmt numFmtId="175" formatCode="&quot;R$&quot;\ #,##0.00"/>
    <numFmt numFmtId="176" formatCode="[$R$-416]\ #,##0.00;\-[$R$-416]\ #,##0.00"/>
    <numFmt numFmtId="177" formatCode="mmmm"/>
    <numFmt numFmtId="178" formatCode="&quot;Fator margem =&gt; &quot;0.00"/>
    <numFmt numFmtId="179" formatCode="&quot;R$&quot;\ #,##0"/>
  </numFmts>
  <fonts count="70" x14ac:knownFonts="1">
    <font>
      <sz val="11"/>
      <color theme="1"/>
      <name val="Calibri"/>
      <family val="2"/>
      <scheme val="minor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Arial"/>
      <family val="2"/>
    </font>
    <font>
      <b/>
      <sz val="20"/>
      <color theme="1"/>
      <name val="Arial"/>
      <family val="2"/>
    </font>
    <font>
      <sz val="10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8"/>
      <color theme="1"/>
      <name val="Arial"/>
      <family val="2"/>
    </font>
    <font>
      <sz val="8"/>
      <name val="Arial"/>
      <family val="2"/>
    </font>
    <font>
      <b/>
      <sz val="12"/>
      <color theme="1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b/>
      <sz val="10"/>
      <color rgb="FFFF0000"/>
      <name val="Arial"/>
      <family val="2"/>
    </font>
    <font>
      <b/>
      <sz val="8"/>
      <color rgb="FF0000FF"/>
      <name val="Arial"/>
      <family val="2"/>
    </font>
    <font>
      <b/>
      <sz val="10"/>
      <color rgb="FF0000FF"/>
      <name val="Arial"/>
      <family val="2"/>
    </font>
    <font>
      <b/>
      <sz val="11"/>
      <color theme="1"/>
      <name val="Arial"/>
      <family val="2"/>
    </font>
    <font>
      <b/>
      <sz val="12"/>
      <color rgb="FF0000FF"/>
      <name val="Arial"/>
      <family val="2"/>
    </font>
    <font>
      <sz val="11"/>
      <color theme="1"/>
      <name val="Arial"/>
      <family val="2"/>
    </font>
    <font>
      <b/>
      <sz val="11"/>
      <color rgb="FF0000FF"/>
      <name val="Arial"/>
      <family val="2"/>
    </font>
    <font>
      <b/>
      <sz val="11"/>
      <color rgb="FF006600"/>
      <name val="Arial"/>
      <family val="2"/>
    </font>
    <font>
      <b/>
      <sz val="14"/>
      <color theme="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0"/>
      <color rgb="FFFFC00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theme="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0"/>
      <color theme="0"/>
      <name val="Arial"/>
      <family val="2"/>
    </font>
    <font>
      <u/>
      <sz val="10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name val="Arial"/>
      <family val="2"/>
    </font>
    <font>
      <b/>
      <sz val="12"/>
      <color theme="0"/>
      <name val="Arial"/>
      <family val="2"/>
    </font>
    <font>
      <sz val="9"/>
      <name val="Arial"/>
      <family val="2"/>
    </font>
    <font>
      <b/>
      <sz val="12"/>
      <color rgb="FF006600"/>
      <name val="Arial"/>
      <family val="2"/>
    </font>
    <font>
      <b/>
      <sz val="11"/>
      <name val="Arial"/>
      <family val="2"/>
    </font>
    <font>
      <b/>
      <sz val="9"/>
      <color rgb="FF0000FF"/>
      <name val="Arial"/>
      <family val="2"/>
    </font>
    <font>
      <sz val="11"/>
      <color rgb="FF000000"/>
      <name val="Calibri"/>
      <family val="2"/>
      <scheme val="minor"/>
    </font>
    <font>
      <sz val="10"/>
      <color theme="2"/>
      <name val="Arial"/>
      <family val="2"/>
    </font>
    <font>
      <sz val="10"/>
      <color theme="2"/>
      <name val="Calibri"/>
      <family val="2"/>
      <scheme val="minor"/>
    </font>
    <font>
      <b/>
      <sz val="9"/>
      <color rgb="FF000000"/>
      <name val="Arial"/>
      <family val="2"/>
    </font>
    <font>
      <b/>
      <sz val="16"/>
      <color theme="1"/>
      <name val="Arial"/>
      <family val="2"/>
    </font>
    <font>
      <b/>
      <sz val="14"/>
      <name val="Arial"/>
      <family val="2"/>
    </font>
    <font>
      <b/>
      <sz val="9"/>
      <color theme="9" tint="0.59996337778862885"/>
      <name val="Arial"/>
      <family val="2"/>
    </font>
    <font>
      <b/>
      <sz val="9"/>
      <color theme="4" tint="0.79998168889431442"/>
      <name val="Arial"/>
      <family val="2"/>
    </font>
    <font>
      <b/>
      <sz val="11"/>
      <color rgb="FFFFC00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9"/>
      <color theme="7" tint="0.39997558519241921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sz val="9"/>
      <color theme="0"/>
      <name val="Arial"/>
      <family val="2"/>
    </font>
    <font>
      <b/>
      <sz val="8"/>
      <color theme="0"/>
      <name val="Arial"/>
      <family val="2"/>
    </font>
    <font>
      <sz val="10"/>
      <color theme="0"/>
      <name val="Arial"/>
      <family val="2"/>
    </font>
    <font>
      <sz val="10"/>
      <color theme="1"/>
      <name val="Calibri"/>
      <family val="2"/>
      <scheme val="minor"/>
    </font>
    <font>
      <sz val="9"/>
      <color theme="1" tint="0.34998626667073579"/>
      <name val="Arial"/>
      <family val="2"/>
    </font>
    <font>
      <sz val="10"/>
      <color theme="0" tint="-0.14999847407452621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gradientFill degree="90">
        <stop position="0">
          <color theme="1" tint="5.0965910824915313E-2"/>
        </stop>
        <stop position="0.5">
          <color theme="0" tint="-0.49803155613879818"/>
        </stop>
        <stop position="1">
          <color theme="1" tint="5.0965910824915313E-2"/>
        </stop>
      </gradientFill>
    </fill>
    <fill>
      <patternFill patternType="solid">
        <fgColor rgb="FFFFFFFF"/>
        <bgColor rgb="FFFFFFFF"/>
      </patternFill>
    </fill>
    <fill>
      <patternFill patternType="solid">
        <fgColor rgb="FFDDD9C3"/>
        <bgColor rgb="FFDDD9C3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C0C0"/>
        <bgColor rgb="FFC0C0C0"/>
      </patternFill>
    </fill>
    <fill>
      <patternFill patternType="solid">
        <fgColor rgb="FF00FF00"/>
        <bgColor rgb="FF00FF00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FF"/>
        <bgColor rgb="FFC0C0FF"/>
      </patternFill>
    </fill>
    <fill>
      <patternFill patternType="solid">
        <fgColor theme="0"/>
        <bgColor theme="0"/>
      </patternFill>
    </fill>
    <fill>
      <patternFill patternType="solid">
        <fgColor theme="0"/>
        <bgColor rgb="FF00FF00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rgb="FF00FF00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rgb="FFFFFFFF"/>
      </patternFill>
    </fill>
    <fill>
      <patternFill patternType="solid">
        <fgColor theme="0"/>
        <bgColor rgb="FFFFFF00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rgb="FFDDD9C3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rgb="FFFFFF00"/>
      </patternFill>
    </fill>
    <fill>
      <patternFill patternType="solid">
        <fgColor theme="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theme="9" tint="0.39997558519241921"/>
        <bgColor rgb="FFC6D9F0"/>
      </patternFill>
    </fill>
    <fill>
      <patternFill patternType="solid">
        <fgColor rgb="FFFFFF00"/>
        <bgColor rgb="FFD8D8D8"/>
      </patternFill>
    </fill>
    <fill>
      <patternFill patternType="solid">
        <fgColor rgb="FF00FFFF"/>
        <bgColor rgb="FF00FF00"/>
      </patternFill>
    </fill>
    <fill>
      <patternFill patternType="solid">
        <fgColor rgb="FF00FFFF"/>
        <bgColor rgb="FFD8D8D8"/>
      </patternFill>
    </fill>
    <fill>
      <patternFill patternType="solid">
        <fgColor rgb="FF00FFFF"/>
        <bgColor indexed="64"/>
      </patternFill>
    </fill>
    <fill>
      <patternFill patternType="solid">
        <fgColor rgb="FF00FFFF"/>
        <bgColor theme="0"/>
      </patternFill>
    </fill>
    <fill>
      <patternFill patternType="solid">
        <fgColor theme="0" tint="-0.14999847407452621"/>
        <bgColor rgb="FF00FF00"/>
      </patternFill>
    </fill>
    <fill>
      <patternFill patternType="solid">
        <fgColor rgb="FF00FF00"/>
        <bgColor theme="0"/>
      </patternFill>
    </fill>
    <fill>
      <patternFill patternType="solid">
        <fgColor theme="2"/>
        <bgColor rgb="FFDDD9C3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0" tint="-0.14999847407452621"/>
        <bgColor theme="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</fills>
  <borders count="1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rgb="FF000000"/>
      </top>
      <bottom style="medium">
        <color indexed="64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indexed="64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medium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indexed="64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ck">
        <color rgb="FF000000"/>
      </left>
      <right/>
      <top style="thick">
        <color rgb="FF000000"/>
      </top>
      <bottom style="medium">
        <color rgb="FF000000"/>
      </bottom>
      <diagonal/>
    </border>
    <border>
      <left/>
      <right/>
      <top style="thick">
        <color rgb="FF000000"/>
      </top>
      <bottom style="medium">
        <color rgb="FF000000"/>
      </bottom>
      <diagonal/>
    </border>
    <border>
      <left/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ck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ck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medium">
        <color rgb="FF000000"/>
      </left>
      <right style="thick">
        <color rgb="FF000000"/>
      </right>
      <top style="medium">
        <color rgb="FF000000"/>
      </top>
      <bottom style="thick">
        <color rgb="FF000000"/>
      </bottom>
      <diagonal/>
    </border>
    <border>
      <left style="medium">
        <color rgb="FF000000"/>
      </left>
      <right style="thick">
        <color rgb="FF000000"/>
      </right>
      <top style="medium">
        <color rgb="FF000000"/>
      </top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ck">
        <color rgb="FF000000"/>
      </bottom>
      <diagonal/>
    </border>
    <border>
      <left/>
      <right/>
      <top style="medium">
        <color rgb="FF000000"/>
      </top>
      <bottom style="thick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medium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medium">
        <color indexed="64"/>
      </right>
      <top style="thin">
        <color theme="0" tint="-0.499984740745262"/>
      </top>
      <bottom/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499984740745262"/>
      </bottom>
      <diagonal/>
    </border>
    <border>
      <left/>
      <right/>
      <top style="medium">
        <color indexed="64"/>
      </top>
      <bottom style="thin">
        <color theme="0" tint="-0.499984740745262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499984740745262"/>
      </bottom>
      <diagonal/>
    </border>
    <border>
      <left style="medium">
        <color indexed="64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medium">
        <color indexed="64"/>
      </right>
      <top/>
      <bottom style="thin">
        <color theme="0" tint="-0.499984740745262"/>
      </bottom>
      <diagonal/>
    </border>
    <border>
      <left style="medium">
        <color indexed="64"/>
      </left>
      <right/>
      <top style="thin">
        <color theme="0" tint="-0.499984740745262"/>
      </top>
      <bottom style="double">
        <color indexed="64"/>
      </bottom>
      <diagonal/>
    </border>
    <border>
      <left/>
      <right/>
      <top style="thin">
        <color theme="0" tint="-0.499984740745262"/>
      </top>
      <bottom style="double">
        <color indexed="64"/>
      </bottom>
      <diagonal/>
    </border>
    <border>
      <left/>
      <right style="medium">
        <color indexed="64"/>
      </right>
      <top style="thin">
        <color theme="0" tint="-0.499984740745262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0">
    <xf numFmtId="0" fontId="0" fillId="0" borderId="0"/>
    <xf numFmtId="0" fontId="4" fillId="0" borderId="0" applyNumberFormat="0" applyFill="0" applyBorder="0" applyAlignment="0" applyProtection="0"/>
    <xf numFmtId="165" fontId="5" fillId="0" borderId="0" applyFont="0" applyFill="0" applyBorder="0" applyAlignment="0" applyProtection="0"/>
    <xf numFmtId="0" fontId="6" fillId="0" borderId="0"/>
    <xf numFmtId="165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36" fillId="0" borderId="0" applyNumberFormat="0" applyFill="0" applyBorder="0" applyAlignment="0" applyProtection="0"/>
    <xf numFmtId="9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5" fontId="6" fillId="0" borderId="0" applyFont="0" applyFill="0" applyBorder="0" applyAlignment="0" applyProtection="0"/>
  </cellStyleXfs>
  <cellXfs count="826">
    <xf numFmtId="0" fontId="0" fillId="0" borderId="0" xfId="0"/>
    <xf numFmtId="0" fontId="1" fillId="0" borderId="0" xfId="0" applyFont="1"/>
    <xf numFmtId="0" fontId="2" fillId="0" borderId="0" xfId="0" applyFont="1"/>
    <xf numFmtId="0" fontId="6" fillId="0" borderId="0" xfId="3"/>
    <xf numFmtId="0" fontId="7" fillId="0" borderId="0" xfId="3" applyFont="1" applyAlignment="1">
      <alignment horizontal="left"/>
    </xf>
    <xf numFmtId="0" fontId="9" fillId="0" borderId="0" xfId="3" applyFont="1"/>
    <xf numFmtId="14" fontId="7" fillId="0" borderId="0" xfId="3" applyNumberFormat="1" applyFont="1"/>
    <xf numFmtId="168" fontId="7" fillId="0" borderId="0" xfId="3" applyNumberFormat="1" applyFont="1"/>
    <xf numFmtId="49" fontId="10" fillId="0" borderId="15" xfId="3" applyNumberFormat="1" applyFont="1" applyBorder="1" applyAlignment="1">
      <alignment horizontal="center"/>
    </xf>
    <xf numFmtId="14" fontId="11" fillId="0" borderId="16" xfId="3" applyNumberFormat="1" applyFont="1" applyBorder="1" applyAlignment="1">
      <alignment horizontal="center"/>
    </xf>
    <xf numFmtId="14" fontId="11" fillId="0" borderId="0" xfId="3" applyNumberFormat="1" applyFont="1" applyAlignment="1">
      <alignment horizontal="center"/>
    </xf>
    <xf numFmtId="169" fontId="7" fillId="0" borderId="0" xfId="3" applyNumberFormat="1" applyFont="1"/>
    <xf numFmtId="0" fontId="7" fillId="0" borderId="0" xfId="3" applyFont="1" applyAlignment="1">
      <alignment horizontal="center"/>
    </xf>
    <xf numFmtId="165" fontId="7" fillId="0" borderId="0" xfId="3" applyNumberFormat="1" applyFont="1"/>
    <xf numFmtId="49" fontId="10" fillId="0" borderId="0" xfId="3" applyNumberFormat="1" applyFont="1" applyAlignment="1">
      <alignment horizontal="center"/>
    </xf>
    <xf numFmtId="0" fontId="7" fillId="0" borderId="0" xfId="3" applyFont="1"/>
    <xf numFmtId="170" fontId="7" fillId="0" borderId="0" xfId="3" applyNumberFormat="1" applyFont="1"/>
    <xf numFmtId="0" fontId="9" fillId="0" borderId="23" xfId="3" applyFont="1" applyBorder="1"/>
    <xf numFmtId="0" fontId="16" fillId="0" borderId="0" xfId="3" applyFont="1" applyAlignment="1">
      <alignment horizontal="center" vertical="center"/>
    </xf>
    <xf numFmtId="0" fontId="15" fillId="0" borderId="0" xfId="3" applyFont="1" applyAlignment="1">
      <alignment horizontal="center" vertical="center"/>
    </xf>
    <xf numFmtId="168" fontId="12" fillId="0" borderId="25" xfId="3" applyNumberFormat="1" applyFont="1" applyBorder="1" applyAlignment="1">
      <alignment horizontal="center" vertical="center"/>
    </xf>
    <xf numFmtId="165" fontId="12" fillId="0" borderId="0" xfId="3" applyNumberFormat="1" applyFont="1"/>
    <xf numFmtId="165" fontId="7" fillId="0" borderId="0" xfId="3" applyNumberFormat="1" applyFont="1" applyAlignment="1">
      <alignment horizontal="center" vertical="center"/>
    </xf>
    <xf numFmtId="165" fontId="12" fillId="0" borderId="25" xfId="3" applyNumberFormat="1" applyFont="1" applyBorder="1"/>
    <xf numFmtId="0" fontId="16" fillId="7" borderId="25" xfId="3" applyFont="1" applyFill="1" applyBorder="1"/>
    <xf numFmtId="0" fontId="12" fillId="7" borderId="25" xfId="3" applyFont="1" applyFill="1" applyBorder="1"/>
    <xf numFmtId="165" fontId="16" fillId="0" borderId="0" xfId="3" applyNumberFormat="1" applyFont="1"/>
    <xf numFmtId="9" fontId="12" fillId="0" borderId="25" xfId="3" applyNumberFormat="1" applyFont="1" applyBorder="1" applyAlignment="1">
      <alignment horizontal="center"/>
    </xf>
    <xf numFmtId="0" fontId="12" fillId="0" borderId="25" xfId="3" applyFont="1" applyBorder="1"/>
    <xf numFmtId="165" fontId="18" fillId="0" borderId="0" xfId="3" applyNumberFormat="1" applyFont="1"/>
    <xf numFmtId="0" fontId="12" fillId="0" borderId="0" xfId="3" applyFont="1" applyAlignment="1">
      <alignment horizontal="center" vertical="center" wrapText="1"/>
    </xf>
    <xf numFmtId="168" fontId="12" fillId="0" borderId="25" xfId="3" applyNumberFormat="1" applyFont="1" applyBorder="1" applyAlignment="1">
      <alignment horizontal="center"/>
    </xf>
    <xf numFmtId="165" fontId="12" fillId="0" borderId="0" xfId="3" applyNumberFormat="1" applyFont="1" applyAlignment="1">
      <alignment horizontal="left"/>
    </xf>
    <xf numFmtId="165" fontId="18" fillId="0" borderId="0" xfId="3" applyNumberFormat="1" applyFont="1" applyAlignment="1">
      <alignment horizontal="left" vertical="center" wrapText="1"/>
    </xf>
    <xf numFmtId="168" fontId="12" fillId="0" borderId="25" xfId="3" applyNumberFormat="1" applyFont="1" applyBorder="1" applyAlignment="1">
      <alignment horizontal="center" vertical="center" wrapText="1"/>
    </xf>
    <xf numFmtId="1" fontId="12" fillId="0" borderId="25" xfId="3" applyNumberFormat="1" applyFont="1" applyBorder="1" applyAlignment="1">
      <alignment horizontal="center" vertical="center" wrapText="1"/>
    </xf>
    <xf numFmtId="165" fontId="12" fillId="0" borderId="25" xfId="3" applyNumberFormat="1" applyFont="1" applyBorder="1" applyAlignment="1">
      <alignment horizontal="left" vertical="center" wrapText="1"/>
    </xf>
    <xf numFmtId="0" fontId="12" fillId="0" borderId="25" xfId="3" applyFont="1" applyBorder="1" applyAlignment="1">
      <alignment horizontal="center"/>
    </xf>
    <xf numFmtId="3" fontId="7" fillId="0" borderId="0" xfId="3" applyNumberFormat="1" applyFont="1" applyAlignment="1">
      <alignment horizontal="center"/>
    </xf>
    <xf numFmtId="171" fontId="7" fillId="0" borderId="0" xfId="3" applyNumberFormat="1" applyFont="1" applyAlignment="1">
      <alignment horizontal="center"/>
    </xf>
    <xf numFmtId="0" fontId="17" fillId="0" borderId="0" xfId="3" applyFont="1" applyAlignment="1">
      <alignment horizontal="left"/>
    </xf>
    <xf numFmtId="0" fontId="17" fillId="0" borderId="0" xfId="3" applyFont="1"/>
    <xf numFmtId="165" fontId="17" fillId="0" borderId="0" xfId="3" applyNumberFormat="1" applyFont="1" applyAlignment="1">
      <alignment horizontal="center"/>
    </xf>
    <xf numFmtId="171" fontId="12" fillId="0" borderId="25" xfId="3" applyNumberFormat="1" applyFont="1" applyBorder="1" applyAlignment="1">
      <alignment horizontal="center" vertical="center" wrapText="1"/>
    </xf>
    <xf numFmtId="10" fontId="12" fillId="0" borderId="25" xfId="3" applyNumberFormat="1" applyFont="1" applyBorder="1" applyAlignment="1">
      <alignment horizontal="center"/>
    </xf>
    <xf numFmtId="0" fontId="7" fillId="0" borderId="0" xfId="3" applyFont="1" applyAlignment="1">
      <alignment horizontal="center" vertical="center"/>
    </xf>
    <xf numFmtId="0" fontId="12" fillId="0" borderId="27" xfId="3" applyFont="1" applyBorder="1"/>
    <xf numFmtId="0" fontId="7" fillId="0" borderId="23" xfId="3" applyFont="1" applyBorder="1"/>
    <xf numFmtId="0" fontId="7" fillId="0" borderId="25" xfId="3" applyFont="1" applyBorder="1" applyAlignment="1">
      <alignment horizontal="center"/>
    </xf>
    <xf numFmtId="10" fontId="12" fillId="0" borderId="24" xfId="3" applyNumberFormat="1" applyFont="1" applyBorder="1" applyAlignment="1">
      <alignment horizontal="center"/>
    </xf>
    <xf numFmtId="170" fontId="12" fillId="0" borderId="0" xfId="3" applyNumberFormat="1" applyFont="1" applyAlignment="1">
      <alignment horizontal="center"/>
    </xf>
    <xf numFmtId="0" fontId="7" fillId="0" borderId="26" xfId="3" applyFont="1" applyBorder="1"/>
    <xf numFmtId="0" fontId="7" fillId="0" borderId="28" xfId="3" applyFont="1" applyBorder="1" applyAlignment="1">
      <alignment horizontal="center"/>
    </xf>
    <xf numFmtId="170" fontId="18" fillId="0" borderId="0" xfId="3" applyNumberFormat="1" applyFont="1" applyAlignment="1">
      <alignment horizontal="center" vertical="center"/>
    </xf>
    <xf numFmtId="170" fontId="7" fillId="0" borderId="0" xfId="3" applyNumberFormat="1" applyFont="1" applyAlignment="1">
      <alignment horizontal="center"/>
    </xf>
    <xf numFmtId="0" fontId="7" fillId="0" borderId="9" xfId="3" applyFont="1" applyBorder="1" applyAlignment="1">
      <alignment horizontal="right" vertical="center"/>
    </xf>
    <xf numFmtId="49" fontId="16" fillId="0" borderId="9" xfId="3" applyNumberFormat="1" applyFont="1" applyBorder="1" applyAlignment="1">
      <alignment horizontal="right" vertical="center"/>
    </xf>
    <xf numFmtId="170" fontId="15" fillId="0" borderId="0" xfId="3" applyNumberFormat="1" applyFont="1" applyAlignment="1">
      <alignment horizontal="left"/>
    </xf>
    <xf numFmtId="0" fontId="2" fillId="0" borderId="0" xfId="3" applyFont="1"/>
    <xf numFmtId="165" fontId="22" fillId="0" borderId="0" xfId="3" applyNumberFormat="1" applyFont="1"/>
    <xf numFmtId="165" fontId="23" fillId="0" borderId="0" xfId="3" applyNumberFormat="1" applyFont="1" applyAlignment="1">
      <alignment horizontal="center" vertical="center"/>
    </xf>
    <xf numFmtId="170" fontId="22" fillId="0" borderId="0" xfId="3" applyNumberFormat="1" applyFont="1" applyAlignment="1">
      <alignment horizontal="left"/>
    </xf>
    <xf numFmtId="10" fontId="22" fillId="0" borderId="0" xfId="3" applyNumberFormat="1" applyFont="1" applyAlignment="1">
      <alignment horizontal="center"/>
    </xf>
    <xf numFmtId="9" fontId="24" fillId="0" borderId="0" xfId="3" applyNumberFormat="1" applyFont="1" applyAlignment="1">
      <alignment horizontal="center" vertical="center"/>
    </xf>
    <xf numFmtId="170" fontId="22" fillId="0" borderId="0" xfId="3" applyNumberFormat="1" applyFont="1" applyAlignment="1">
      <alignment horizontal="center"/>
    </xf>
    <xf numFmtId="170" fontId="2" fillId="0" borderId="0" xfId="3" applyNumberFormat="1" applyFont="1"/>
    <xf numFmtId="0" fontId="15" fillId="0" borderId="0" xfId="3" applyFont="1"/>
    <xf numFmtId="165" fontId="6" fillId="0" borderId="0" xfId="3" applyNumberFormat="1"/>
    <xf numFmtId="0" fontId="14" fillId="15" borderId="0" xfId="3" applyFont="1" applyFill="1" applyAlignment="1">
      <alignment horizontal="center" vertical="center"/>
    </xf>
    <xf numFmtId="0" fontId="9" fillId="16" borderId="0" xfId="3" applyFont="1" applyFill="1"/>
    <xf numFmtId="0" fontId="6" fillId="16" borderId="0" xfId="3" applyFill="1"/>
    <xf numFmtId="0" fontId="30" fillId="0" borderId="0" xfId="3" applyFont="1"/>
    <xf numFmtId="0" fontId="31" fillId="0" borderId="0" xfId="3" applyFont="1"/>
    <xf numFmtId="2" fontId="7" fillId="0" borderId="0" xfId="3" applyNumberFormat="1" applyFont="1"/>
    <xf numFmtId="0" fontId="33" fillId="0" borderId="0" xfId="3" applyFont="1"/>
    <xf numFmtId="170" fontId="30" fillId="0" borderId="0" xfId="3" applyNumberFormat="1" applyFont="1"/>
    <xf numFmtId="9" fontId="31" fillId="0" borderId="0" xfId="5" applyFont="1"/>
    <xf numFmtId="1" fontId="7" fillId="0" borderId="0" xfId="3" applyNumberFormat="1" applyFont="1"/>
    <xf numFmtId="9" fontId="7" fillId="0" borderId="0" xfId="3" applyNumberFormat="1" applyFont="1" applyAlignment="1">
      <alignment horizontal="center"/>
    </xf>
    <xf numFmtId="9" fontId="7" fillId="0" borderId="0" xfId="5" applyFont="1" applyAlignment="1">
      <alignment horizontal="left"/>
    </xf>
    <xf numFmtId="173" fontId="7" fillId="0" borderId="0" xfId="3" applyNumberFormat="1" applyFont="1" applyAlignment="1">
      <alignment horizontal="left"/>
    </xf>
    <xf numFmtId="174" fontId="30" fillId="0" borderId="0" xfId="4" applyNumberFormat="1" applyFont="1" applyBorder="1"/>
    <xf numFmtId="0" fontId="6" fillId="0" borderId="0" xfId="3" applyAlignment="1">
      <alignment horizontal="right"/>
    </xf>
    <xf numFmtId="16" fontId="6" fillId="0" borderId="0" xfId="3" applyNumberFormat="1" applyAlignment="1">
      <alignment horizontal="center" vertical="center"/>
    </xf>
    <xf numFmtId="9" fontId="0" fillId="0" borderId="0" xfId="5" applyFont="1"/>
    <xf numFmtId="0" fontId="0" fillId="0" borderId="0" xfId="0" applyAlignment="1">
      <alignment horizontal="center"/>
    </xf>
    <xf numFmtId="165" fontId="0" fillId="0" borderId="0" xfId="2" applyFont="1" applyBorder="1" applyAlignment="1">
      <alignment vertical="center"/>
    </xf>
    <xf numFmtId="165" fontId="35" fillId="23" borderId="49" xfId="4" applyFont="1" applyFill="1" applyBorder="1" applyAlignment="1">
      <alignment vertical="center"/>
    </xf>
    <xf numFmtId="0" fontId="6" fillId="0" borderId="0" xfId="3" applyAlignment="1">
      <alignment vertical="center"/>
    </xf>
    <xf numFmtId="10" fontId="35" fillId="23" borderId="49" xfId="5" applyNumberFormat="1" applyFont="1" applyFill="1" applyBorder="1" applyAlignment="1">
      <alignment horizontal="center" vertical="center"/>
    </xf>
    <xf numFmtId="165" fontId="15" fillId="22" borderId="48" xfId="4" applyFont="1" applyFill="1" applyBorder="1" applyAlignment="1">
      <alignment horizontal="center" vertical="center"/>
    </xf>
    <xf numFmtId="10" fontId="15" fillId="22" borderId="48" xfId="5" applyNumberFormat="1" applyFont="1" applyFill="1" applyBorder="1" applyAlignment="1">
      <alignment horizontal="center" vertical="center"/>
    </xf>
    <xf numFmtId="0" fontId="15" fillId="0" borderId="14" xfId="3" applyFont="1" applyBorder="1" applyAlignment="1">
      <alignment vertical="center"/>
    </xf>
    <xf numFmtId="0" fontId="15" fillId="0" borderId="21" xfId="3" applyFont="1" applyBorder="1" applyAlignment="1">
      <alignment horizontal="right" vertical="center" indent="1"/>
    </xf>
    <xf numFmtId="0" fontId="12" fillId="0" borderId="25" xfId="3" applyFont="1" applyBorder="1" applyAlignment="1">
      <alignment horizontal="center" vertical="center"/>
    </xf>
    <xf numFmtId="168" fontId="12" fillId="0" borderId="24" xfId="3" applyNumberFormat="1" applyFont="1" applyBorder="1" applyAlignment="1">
      <alignment horizontal="right"/>
    </xf>
    <xf numFmtId="0" fontId="12" fillId="0" borderId="23" xfId="3" applyFont="1" applyBorder="1" applyAlignment="1">
      <alignment horizontal="center" vertical="center"/>
    </xf>
    <xf numFmtId="9" fontId="12" fillId="0" borderId="25" xfId="3" applyNumberFormat="1" applyFont="1" applyBorder="1" applyAlignment="1">
      <alignment horizontal="center" vertical="center"/>
    </xf>
    <xf numFmtId="0" fontId="26" fillId="16" borderId="69" xfId="3" applyFont="1" applyFill="1" applyBorder="1" applyAlignment="1">
      <alignment horizontal="center" vertical="center"/>
    </xf>
    <xf numFmtId="0" fontId="26" fillId="16" borderId="70" xfId="3" applyFont="1" applyFill="1" applyBorder="1" applyAlignment="1">
      <alignment horizontal="center" vertical="center"/>
    </xf>
    <xf numFmtId="0" fontId="10" fillId="4" borderId="0" xfId="3" applyFont="1" applyFill="1" applyAlignment="1">
      <alignment horizontal="left"/>
    </xf>
    <xf numFmtId="0" fontId="9" fillId="0" borderId="39" xfId="3" applyFont="1" applyBorder="1"/>
    <xf numFmtId="4" fontId="6" fillId="0" borderId="0" xfId="3" applyNumberFormat="1"/>
    <xf numFmtId="9" fontId="7" fillId="0" borderId="0" xfId="7" applyFont="1" applyAlignment="1">
      <alignment horizontal="center"/>
    </xf>
    <xf numFmtId="9" fontId="6" fillId="0" borderId="0" xfId="7" applyFont="1" applyAlignment="1">
      <alignment vertical="center"/>
    </xf>
    <xf numFmtId="9" fontId="7" fillId="0" borderId="0" xfId="7" applyFont="1"/>
    <xf numFmtId="2" fontId="7" fillId="0" borderId="0" xfId="7" applyNumberFormat="1" applyFont="1"/>
    <xf numFmtId="10" fontId="7" fillId="0" borderId="0" xfId="7" applyNumberFormat="1" applyFont="1"/>
    <xf numFmtId="165" fontId="0" fillId="0" borderId="0" xfId="2" applyFont="1"/>
    <xf numFmtId="10" fontId="0" fillId="0" borderId="0" xfId="0" applyNumberFormat="1"/>
    <xf numFmtId="0" fontId="33" fillId="16" borderId="0" xfId="3" applyFont="1" applyFill="1"/>
    <xf numFmtId="0" fontId="26" fillId="0" borderId="0" xfId="3" applyFont="1" applyAlignment="1">
      <alignment horizontal="center" vertical="center"/>
    </xf>
    <xf numFmtId="165" fontId="12" fillId="0" borderId="50" xfId="3" applyNumberFormat="1" applyFont="1" applyBorder="1"/>
    <xf numFmtId="0" fontId="16" fillId="7" borderId="68" xfId="3" applyFont="1" applyFill="1" applyBorder="1"/>
    <xf numFmtId="0" fontId="16" fillId="7" borderId="68" xfId="3" applyFont="1" applyFill="1" applyBorder="1" applyAlignment="1">
      <alignment horizontal="center"/>
    </xf>
    <xf numFmtId="0" fontId="12" fillId="7" borderId="68" xfId="3" applyFont="1" applyFill="1" applyBorder="1"/>
    <xf numFmtId="0" fontId="10" fillId="4" borderId="27" xfId="3" applyFont="1" applyFill="1" applyBorder="1" applyAlignment="1">
      <alignment horizontal="left"/>
    </xf>
    <xf numFmtId="0" fontId="9" fillId="0" borderId="76" xfId="3" applyFont="1" applyBorder="1"/>
    <xf numFmtId="165" fontId="12" fillId="0" borderId="50" xfId="3" applyNumberFormat="1" applyFont="1" applyBorder="1" applyAlignment="1">
      <alignment horizontal="left"/>
    </xf>
    <xf numFmtId="0" fontId="10" fillId="0" borderId="72" xfId="3" applyFont="1" applyBorder="1" applyAlignment="1">
      <alignment horizontal="center" vertical="center" wrapText="1"/>
    </xf>
    <xf numFmtId="0" fontId="10" fillId="0" borderId="73" xfId="3" applyFont="1" applyBorder="1" applyAlignment="1">
      <alignment horizontal="center" vertical="center"/>
    </xf>
    <xf numFmtId="0" fontId="15" fillId="6" borderId="31" xfId="3" applyFont="1" applyFill="1" applyBorder="1" applyAlignment="1">
      <alignment horizontal="center" vertical="center"/>
    </xf>
    <xf numFmtId="0" fontId="15" fillId="6" borderId="34" xfId="3" applyFont="1" applyFill="1" applyBorder="1" applyAlignment="1">
      <alignment horizontal="center" vertical="center" wrapText="1"/>
    </xf>
    <xf numFmtId="165" fontId="12" fillId="0" borderId="25" xfId="2" applyFont="1" applyBorder="1"/>
    <xf numFmtId="10" fontId="10" fillId="11" borderId="34" xfId="3" applyNumberFormat="1" applyFont="1" applyFill="1" applyBorder="1" applyAlignment="1">
      <alignment horizontal="center"/>
    </xf>
    <xf numFmtId="10" fontId="10" fillId="12" borderId="49" xfId="3" applyNumberFormat="1" applyFont="1" applyFill="1" applyBorder="1" applyAlignment="1">
      <alignment horizontal="center"/>
    </xf>
    <xf numFmtId="0" fontId="7" fillId="0" borderId="0" xfId="3" applyFont="1" applyAlignment="1">
      <alignment horizontal="right"/>
    </xf>
    <xf numFmtId="0" fontId="9" fillId="0" borderId="0" xfId="3" applyFont="1" applyAlignment="1">
      <alignment horizontal="centerContinuous" vertical="center" readingOrder="1"/>
    </xf>
    <xf numFmtId="0" fontId="0" fillId="0" borderId="1" xfId="0" applyBorder="1"/>
    <xf numFmtId="0" fontId="0" fillId="0" borderId="1" xfId="0" applyBorder="1" applyAlignment="1">
      <alignment horizontal="center"/>
    </xf>
    <xf numFmtId="165" fontId="0" fillId="0" borderId="1" xfId="2" applyFont="1" applyBorder="1"/>
    <xf numFmtId="9" fontId="7" fillId="0" borderId="1" xfId="7" applyFont="1" applyBorder="1" applyAlignment="1">
      <alignment horizontal="center"/>
    </xf>
    <xf numFmtId="165" fontId="7" fillId="0" borderId="1" xfId="2" applyFont="1" applyBorder="1"/>
    <xf numFmtId="10" fontId="7" fillId="0" borderId="1" xfId="7" applyNumberFormat="1" applyFont="1" applyBorder="1" applyAlignment="1">
      <alignment horizontal="center"/>
    </xf>
    <xf numFmtId="2" fontId="7" fillId="0" borderId="1" xfId="3" applyNumberFormat="1" applyFont="1" applyBorder="1" applyAlignment="1">
      <alignment horizontal="center"/>
    </xf>
    <xf numFmtId="10" fontId="7" fillId="29" borderId="1" xfId="7" applyNumberFormat="1" applyFont="1" applyFill="1" applyBorder="1"/>
    <xf numFmtId="0" fontId="6" fillId="0" borderId="1" xfId="3" applyBorder="1"/>
    <xf numFmtId="0" fontId="6" fillId="0" borderId="1" xfId="3" applyBorder="1" applyAlignment="1">
      <alignment horizontal="center"/>
    </xf>
    <xf numFmtId="165" fontId="6" fillId="0" borderId="1" xfId="2" applyFont="1" applyBorder="1"/>
    <xf numFmtId="9" fontId="7" fillId="0" borderId="1" xfId="7" applyFont="1" applyBorder="1"/>
    <xf numFmtId="10" fontId="7" fillId="0" borderId="1" xfId="7" applyNumberFormat="1" applyFont="1" applyBorder="1"/>
    <xf numFmtId="2" fontId="7" fillId="0" borderId="1" xfId="3" applyNumberFormat="1" applyFont="1" applyBorder="1"/>
    <xf numFmtId="0" fontId="0" fillId="0" borderId="62" xfId="0" applyBorder="1"/>
    <xf numFmtId="0" fontId="0" fillId="0" borderId="63" xfId="0" applyBorder="1"/>
    <xf numFmtId="0" fontId="7" fillId="0" borderId="63" xfId="3" applyFont="1" applyBorder="1"/>
    <xf numFmtId="0" fontId="7" fillId="0" borderId="62" xfId="3" applyFont="1" applyBorder="1"/>
    <xf numFmtId="0" fontId="6" fillId="0" borderId="62" xfId="3" applyBorder="1"/>
    <xf numFmtId="0" fontId="6" fillId="0" borderId="63" xfId="3" applyBorder="1"/>
    <xf numFmtId="9" fontId="0" fillId="0" borderId="63" xfId="0" applyNumberFormat="1" applyBorder="1" applyAlignment="1">
      <alignment horizontal="center"/>
    </xf>
    <xf numFmtId="0" fontId="0" fillId="0" borderId="45" xfId="0" applyBorder="1"/>
    <xf numFmtId="0" fontId="0" fillId="0" borderId="46" xfId="0" applyBorder="1"/>
    <xf numFmtId="0" fontId="0" fillId="0" borderId="46" xfId="0" applyBorder="1" applyAlignment="1">
      <alignment horizontal="center"/>
    </xf>
    <xf numFmtId="165" fontId="37" fillId="32" borderId="46" xfId="2" applyFont="1" applyFill="1" applyBorder="1"/>
    <xf numFmtId="10" fontId="37" fillId="32" borderId="64" xfId="0" applyNumberFormat="1" applyFont="1" applyFill="1" applyBorder="1"/>
    <xf numFmtId="165" fontId="0" fillId="0" borderId="62" xfId="2" applyFont="1" applyBorder="1"/>
    <xf numFmtId="165" fontId="7" fillId="0" borderId="62" xfId="2" applyFont="1" applyBorder="1"/>
    <xf numFmtId="165" fontId="6" fillId="0" borderId="62" xfId="2" applyFont="1" applyBorder="1"/>
    <xf numFmtId="165" fontId="0" fillId="0" borderId="45" xfId="2" applyFont="1" applyBorder="1"/>
    <xf numFmtId="0" fontId="0" fillId="0" borderId="0" xfId="0" applyAlignment="1">
      <alignment vertical="center"/>
    </xf>
    <xf numFmtId="165" fontId="37" fillId="10" borderId="34" xfId="2" applyFont="1" applyFill="1" applyBorder="1" applyAlignment="1">
      <alignment horizontal="center" vertical="center" wrapText="1"/>
    </xf>
    <xf numFmtId="165" fontId="38" fillId="10" borderId="34" xfId="2" applyFont="1" applyFill="1" applyBorder="1" applyAlignment="1">
      <alignment vertical="center"/>
    </xf>
    <xf numFmtId="0" fontId="37" fillId="31" borderId="62" xfId="0" applyFont="1" applyFill="1" applyBorder="1" applyAlignment="1">
      <alignment horizontal="center"/>
    </xf>
    <xf numFmtId="165" fontId="15" fillId="31" borderId="62" xfId="2" applyFont="1" applyFill="1" applyBorder="1" applyAlignment="1">
      <alignment horizontal="center"/>
    </xf>
    <xf numFmtId="9" fontId="7" fillId="0" borderId="86" xfId="7" applyFont="1" applyBorder="1" applyAlignment="1">
      <alignment horizontal="center"/>
    </xf>
    <xf numFmtId="165" fontId="7" fillId="0" borderId="86" xfId="2" applyFont="1" applyBorder="1"/>
    <xf numFmtId="0" fontId="7" fillId="0" borderId="87" xfId="3" applyFont="1" applyBorder="1"/>
    <xf numFmtId="0" fontId="37" fillId="0" borderId="66" xfId="0" applyFont="1" applyBorder="1" applyAlignment="1">
      <alignment horizontal="center" vertical="center"/>
    </xf>
    <xf numFmtId="165" fontId="37" fillId="0" borderId="91" xfId="2" applyFont="1" applyBorder="1" applyAlignment="1">
      <alignment horizontal="center" vertical="center"/>
    </xf>
    <xf numFmtId="0" fontId="37" fillId="0" borderId="88" xfId="0" applyFont="1" applyBorder="1" applyAlignment="1">
      <alignment horizontal="center" vertical="center"/>
    </xf>
    <xf numFmtId="9" fontId="7" fillId="0" borderId="86" xfId="7" applyFont="1" applyBorder="1"/>
    <xf numFmtId="0" fontId="7" fillId="16" borderId="0" xfId="3" applyFont="1" applyFill="1" applyAlignment="1">
      <alignment horizontal="left"/>
    </xf>
    <xf numFmtId="170" fontId="22" fillId="16" borderId="0" xfId="3" applyNumberFormat="1" applyFont="1" applyFill="1" applyAlignment="1">
      <alignment horizontal="left"/>
    </xf>
    <xf numFmtId="170" fontId="30" fillId="16" borderId="0" xfId="3" applyNumberFormat="1" applyFont="1" applyFill="1"/>
    <xf numFmtId="0" fontId="29" fillId="16" borderId="0" xfId="3" applyFont="1" applyFill="1" applyAlignment="1">
      <alignment horizontal="center"/>
    </xf>
    <xf numFmtId="165" fontId="29" fillId="16" borderId="0" xfId="4" applyFont="1" applyFill="1" applyBorder="1" applyAlignment="1">
      <alignment horizontal="center" vertical="center"/>
    </xf>
    <xf numFmtId="170" fontId="7" fillId="16" borderId="0" xfId="3" applyNumberFormat="1" applyFont="1" applyFill="1"/>
    <xf numFmtId="165" fontId="0" fillId="16" borderId="0" xfId="4" applyFont="1" applyFill="1" applyBorder="1"/>
    <xf numFmtId="165" fontId="7" fillId="16" borderId="0" xfId="4" applyFont="1" applyFill="1" applyBorder="1" applyAlignment="1">
      <alignment horizontal="left"/>
    </xf>
    <xf numFmtId="0" fontId="34" fillId="16" borderId="0" xfId="3" applyFont="1" applyFill="1" applyAlignment="1">
      <alignment horizontal="center"/>
    </xf>
    <xf numFmtId="0" fontId="15" fillId="0" borderId="34" xfId="3" applyFont="1" applyBorder="1" applyAlignment="1">
      <alignment horizontal="center" vertical="center" wrapText="1"/>
    </xf>
    <xf numFmtId="0" fontId="29" fillId="6" borderId="34" xfId="3" applyFont="1" applyFill="1" applyBorder="1" applyAlignment="1">
      <alignment horizontal="center"/>
    </xf>
    <xf numFmtId="9" fontId="7" fillId="0" borderId="57" xfId="3" applyNumberFormat="1" applyFont="1" applyBorder="1" applyAlignment="1">
      <alignment horizontal="center"/>
    </xf>
    <xf numFmtId="9" fontId="7" fillId="0" borderId="59" xfId="3" applyNumberFormat="1" applyFont="1" applyBorder="1" applyAlignment="1">
      <alignment horizontal="center"/>
    </xf>
    <xf numFmtId="172" fontId="7" fillId="0" borderId="54" xfId="3" applyNumberFormat="1" applyFont="1" applyBorder="1" applyAlignment="1">
      <alignment horizontal="center"/>
    </xf>
    <xf numFmtId="9" fontId="7" fillId="0" borderId="55" xfId="3" applyNumberFormat="1" applyFont="1" applyBorder="1" applyAlignment="1">
      <alignment horizontal="center"/>
    </xf>
    <xf numFmtId="0" fontId="6" fillId="18" borderId="34" xfId="3" applyFill="1" applyBorder="1"/>
    <xf numFmtId="165" fontId="12" fillId="18" borderId="50" xfId="3" applyNumberFormat="1" applyFont="1" applyFill="1" applyBorder="1" applyAlignment="1">
      <alignment horizontal="left"/>
    </xf>
    <xf numFmtId="168" fontId="12" fillId="18" borderId="25" xfId="3" applyNumberFormat="1" applyFont="1" applyFill="1" applyBorder="1" applyAlignment="1">
      <alignment horizontal="center" vertical="center" wrapText="1"/>
    </xf>
    <xf numFmtId="165" fontId="12" fillId="18" borderId="25" xfId="3" applyNumberFormat="1" applyFont="1" applyFill="1" applyBorder="1" applyAlignment="1">
      <alignment horizontal="left" vertical="center" wrapText="1"/>
    </xf>
    <xf numFmtId="0" fontId="12" fillId="18" borderId="27" xfId="3" applyFont="1" applyFill="1" applyBorder="1" applyAlignment="1">
      <alignment horizontal="left"/>
    </xf>
    <xf numFmtId="0" fontId="12" fillId="18" borderId="23" xfId="3" applyFont="1" applyFill="1" applyBorder="1" applyAlignment="1">
      <alignment horizontal="left"/>
    </xf>
    <xf numFmtId="0" fontId="12" fillId="18" borderId="24" xfId="3" applyFont="1" applyFill="1" applyBorder="1" applyAlignment="1">
      <alignment horizontal="left"/>
    </xf>
    <xf numFmtId="171" fontId="12" fillId="18" borderId="25" xfId="3" applyNumberFormat="1" applyFont="1" applyFill="1" applyBorder="1" applyAlignment="1">
      <alignment horizontal="center" vertical="center" wrapText="1"/>
    </xf>
    <xf numFmtId="0" fontId="12" fillId="18" borderId="25" xfId="3" applyFont="1" applyFill="1" applyBorder="1" applyAlignment="1">
      <alignment horizontal="center" vertical="center" wrapText="1"/>
    </xf>
    <xf numFmtId="0" fontId="12" fillId="0" borderId="34" xfId="3" applyFont="1" applyBorder="1" applyAlignment="1">
      <alignment horizontal="center" vertical="center" wrapText="1"/>
    </xf>
    <xf numFmtId="165" fontId="27" fillId="16" borderId="0" xfId="4" applyFont="1" applyFill="1" applyBorder="1" applyAlignment="1">
      <alignment horizontal="center" vertical="center"/>
    </xf>
    <xf numFmtId="0" fontId="14" fillId="15" borderId="0" xfId="3" applyFont="1" applyFill="1" applyAlignment="1">
      <alignment vertical="center"/>
    </xf>
    <xf numFmtId="0" fontId="45" fillId="0" borderId="0" xfId="3" applyFont="1"/>
    <xf numFmtId="0" fontId="12" fillId="14" borderId="26" xfId="3" applyFont="1" applyFill="1" applyBorder="1" applyAlignment="1">
      <alignment horizontal="center" vertical="center" wrapText="1"/>
    </xf>
    <xf numFmtId="0" fontId="12" fillId="0" borderId="26" xfId="3" applyFont="1" applyBorder="1" applyAlignment="1">
      <alignment horizontal="left" vertical="center" wrapText="1" indent="1"/>
    </xf>
    <xf numFmtId="0" fontId="12" fillId="24" borderId="26" xfId="3" applyFont="1" applyFill="1" applyBorder="1" applyAlignment="1">
      <alignment horizontal="center" vertical="center" wrapText="1"/>
    </xf>
    <xf numFmtId="0" fontId="12" fillId="14" borderId="26" xfId="3" applyFont="1" applyFill="1" applyBorder="1" applyAlignment="1">
      <alignment horizontal="center" vertical="center"/>
    </xf>
    <xf numFmtId="165" fontId="12" fillId="16" borderId="26" xfId="3" applyNumberFormat="1" applyFont="1" applyFill="1" applyBorder="1" applyAlignment="1">
      <alignment horizontal="left" vertical="center" wrapText="1"/>
    </xf>
    <xf numFmtId="0" fontId="12" fillId="0" borderId="26" xfId="3" applyFont="1" applyBorder="1" applyAlignment="1">
      <alignment horizontal="center" vertical="center" wrapText="1"/>
    </xf>
    <xf numFmtId="165" fontId="12" fillId="0" borderId="26" xfId="3" applyNumberFormat="1" applyFont="1" applyBorder="1" applyAlignment="1">
      <alignment horizontal="left" vertical="center" wrapText="1"/>
    </xf>
    <xf numFmtId="0" fontId="12" fillId="14" borderId="0" xfId="3" applyFont="1" applyFill="1" applyAlignment="1">
      <alignment horizontal="center" vertical="center" wrapText="1"/>
    </xf>
    <xf numFmtId="0" fontId="12" fillId="0" borderId="0" xfId="3" applyFont="1" applyAlignment="1">
      <alignment horizontal="left" vertical="center" wrapText="1" indent="1"/>
    </xf>
    <xf numFmtId="0" fontId="12" fillId="24" borderId="0" xfId="3" applyFont="1" applyFill="1" applyAlignment="1">
      <alignment horizontal="center" vertical="center" wrapText="1"/>
    </xf>
    <xf numFmtId="0" fontId="12" fillId="14" borderId="0" xfId="3" applyFont="1" applyFill="1" applyAlignment="1">
      <alignment horizontal="center" vertical="center"/>
    </xf>
    <xf numFmtId="165" fontId="12" fillId="16" borderId="0" xfId="3" applyNumberFormat="1" applyFont="1" applyFill="1" applyAlignment="1">
      <alignment horizontal="left" vertical="center" wrapText="1"/>
    </xf>
    <xf numFmtId="165" fontId="12" fillId="0" borderId="0" xfId="3" applyNumberFormat="1" applyFont="1" applyAlignment="1">
      <alignment horizontal="left" vertical="center" wrapText="1"/>
    </xf>
    <xf numFmtId="165" fontId="12" fillId="0" borderId="29" xfId="3" applyNumberFormat="1" applyFont="1" applyBorder="1"/>
    <xf numFmtId="0" fontId="12" fillId="14" borderId="40" xfId="3" applyFont="1" applyFill="1" applyBorder="1" applyAlignment="1">
      <alignment horizontal="center" vertical="center" wrapText="1"/>
    </xf>
    <xf numFmtId="165" fontId="12" fillId="0" borderId="41" xfId="3" applyNumberFormat="1" applyFont="1" applyBorder="1" applyAlignment="1">
      <alignment horizontal="left" vertical="center" wrapText="1"/>
    </xf>
    <xf numFmtId="10" fontId="18" fillId="0" borderId="33" xfId="5" applyNumberFormat="1" applyFont="1" applyBorder="1" applyAlignment="1">
      <alignment horizontal="center" vertical="center"/>
    </xf>
    <xf numFmtId="10" fontId="18" fillId="0" borderId="34" xfId="3" applyNumberFormat="1" applyFont="1" applyBorder="1" applyAlignment="1">
      <alignment horizontal="center"/>
    </xf>
    <xf numFmtId="10" fontId="16" fillId="26" borderId="29" xfId="3" applyNumberFormat="1" applyFont="1" applyFill="1" applyBorder="1" applyAlignment="1">
      <alignment horizontal="center"/>
    </xf>
    <xf numFmtId="165" fontId="16" fillId="26" borderId="29" xfId="3" applyNumberFormat="1" applyFont="1" applyFill="1" applyBorder="1"/>
    <xf numFmtId="165" fontId="12" fillId="0" borderId="98" xfId="3" applyNumberFormat="1" applyFont="1" applyBorder="1"/>
    <xf numFmtId="0" fontId="16" fillId="10" borderId="72" xfId="3" applyFont="1" applyFill="1" applyBorder="1" applyAlignment="1">
      <alignment horizontal="center" vertical="center" wrapText="1"/>
    </xf>
    <xf numFmtId="0" fontId="16" fillId="0" borderId="72" xfId="3" applyFont="1" applyBorder="1" applyAlignment="1">
      <alignment horizontal="center" vertical="center" wrapText="1"/>
    </xf>
    <xf numFmtId="0" fontId="16" fillId="0" borderId="73" xfId="3" applyFont="1" applyBorder="1" applyAlignment="1">
      <alignment horizontal="center" vertical="center" wrapText="1"/>
    </xf>
    <xf numFmtId="170" fontId="20" fillId="12" borderId="34" xfId="3" applyNumberFormat="1" applyFont="1" applyFill="1" applyBorder="1" applyAlignment="1">
      <alignment horizontal="center" vertical="center"/>
    </xf>
    <xf numFmtId="168" fontId="12" fillId="0" borderId="29" xfId="3" applyNumberFormat="1" applyFont="1" applyBorder="1" applyAlignment="1">
      <alignment horizontal="center"/>
    </xf>
    <xf numFmtId="0" fontId="16" fillId="0" borderId="34" xfId="3" applyFont="1" applyBorder="1" applyAlignment="1">
      <alignment horizontal="center" vertical="center" wrapText="1"/>
    </xf>
    <xf numFmtId="0" fontId="16" fillId="25" borderId="32" xfId="3" applyFont="1" applyFill="1" applyBorder="1" applyAlignment="1">
      <alignment horizontal="center" vertical="center" wrapText="1"/>
    </xf>
    <xf numFmtId="165" fontId="46" fillId="0" borderId="0" xfId="3" applyNumberFormat="1" applyFont="1"/>
    <xf numFmtId="0" fontId="47" fillId="0" borderId="0" xfId="3" applyFont="1"/>
    <xf numFmtId="10" fontId="45" fillId="0" borderId="0" xfId="7" applyNumberFormat="1" applyFont="1" applyAlignment="1">
      <alignment vertical="center"/>
    </xf>
    <xf numFmtId="10" fontId="42" fillId="14" borderId="41" xfId="3" applyNumberFormat="1" applyFont="1" applyFill="1" applyBorder="1" applyAlignment="1">
      <alignment horizontal="center" vertical="center"/>
    </xf>
    <xf numFmtId="168" fontId="12" fillId="11" borderId="25" xfId="3" applyNumberFormat="1" applyFont="1" applyFill="1" applyBorder="1" applyAlignment="1">
      <alignment horizontal="center"/>
    </xf>
    <xf numFmtId="165" fontId="12" fillId="11" borderId="25" xfId="3" applyNumberFormat="1" applyFont="1" applyFill="1" applyBorder="1" applyAlignment="1">
      <alignment horizontal="right"/>
    </xf>
    <xf numFmtId="165" fontId="12" fillId="11" borderId="50" xfId="3" applyNumberFormat="1" applyFont="1" applyFill="1" applyBorder="1"/>
    <xf numFmtId="10" fontId="16" fillId="11" borderId="32" xfId="3" applyNumberFormat="1" applyFont="1" applyFill="1" applyBorder="1" applyAlignment="1">
      <alignment horizontal="center" vertical="center"/>
    </xf>
    <xf numFmtId="2" fontId="16" fillId="11" borderId="34" xfId="3" applyNumberFormat="1" applyFont="1" applyFill="1" applyBorder="1" applyAlignment="1">
      <alignment horizontal="center" vertical="center"/>
    </xf>
    <xf numFmtId="165" fontId="16" fillId="11" borderId="34" xfId="3" applyNumberFormat="1" applyFont="1" applyFill="1" applyBorder="1" applyAlignment="1">
      <alignment vertical="center"/>
    </xf>
    <xf numFmtId="10" fontId="16" fillId="11" borderId="33" xfId="3" applyNumberFormat="1" applyFont="1" applyFill="1" applyBorder="1" applyAlignment="1">
      <alignment horizontal="center" vertical="center"/>
    </xf>
    <xf numFmtId="0" fontId="26" fillId="31" borderId="34" xfId="3" applyFont="1" applyFill="1" applyBorder="1" applyAlignment="1">
      <alignment horizontal="center" vertical="center"/>
    </xf>
    <xf numFmtId="9" fontId="26" fillId="31" borderId="34" xfId="3" applyNumberFormat="1" applyFont="1" applyFill="1" applyBorder="1" applyAlignment="1">
      <alignment horizontal="center" vertical="center"/>
    </xf>
    <xf numFmtId="0" fontId="29" fillId="6" borderId="42" xfId="3" applyFont="1" applyFill="1" applyBorder="1" applyAlignment="1">
      <alignment horizontal="center"/>
    </xf>
    <xf numFmtId="0" fontId="32" fillId="0" borderId="96" xfId="3" applyFont="1" applyBorder="1"/>
    <xf numFmtId="0" fontId="32" fillId="0" borderId="106" xfId="3" applyFont="1" applyBorder="1"/>
    <xf numFmtId="9" fontId="7" fillId="0" borderId="60" xfId="3" applyNumberFormat="1" applyFont="1" applyBorder="1" applyAlignment="1">
      <alignment horizontal="center"/>
    </xf>
    <xf numFmtId="0" fontId="29" fillId="6" borderId="44" xfId="3" applyFont="1" applyFill="1" applyBorder="1" applyAlignment="1">
      <alignment horizontal="center"/>
    </xf>
    <xf numFmtId="0" fontId="48" fillId="21" borderId="106" xfId="3" applyFont="1" applyFill="1" applyBorder="1"/>
    <xf numFmtId="9" fontId="15" fillId="21" borderId="57" xfId="3" applyNumberFormat="1" applyFont="1" applyFill="1" applyBorder="1" applyAlignment="1">
      <alignment horizontal="center"/>
    </xf>
    <xf numFmtId="9" fontId="15" fillId="21" borderId="55" xfId="3" applyNumberFormat="1" applyFont="1" applyFill="1" applyBorder="1" applyAlignment="1">
      <alignment horizontal="center"/>
    </xf>
    <xf numFmtId="170" fontId="30" fillId="16" borderId="47" xfId="3" applyNumberFormat="1" applyFont="1" applyFill="1" applyBorder="1" applyAlignment="1">
      <alignment horizontal="center" vertical="center"/>
    </xf>
    <xf numFmtId="0" fontId="12" fillId="0" borderId="52" xfId="3" applyFont="1" applyBorder="1" applyAlignment="1">
      <alignment horizontal="center" vertical="center"/>
    </xf>
    <xf numFmtId="0" fontId="12" fillId="0" borderId="53" xfId="3" applyFont="1" applyBorder="1" applyAlignment="1">
      <alignment horizontal="center" vertical="center"/>
    </xf>
    <xf numFmtId="0" fontId="12" fillId="31" borderId="108" xfId="3" applyFont="1" applyFill="1" applyBorder="1" applyAlignment="1">
      <alignment horizontal="center" vertical="center"/>
    </xf>
    <xf numFmtId="0" fontId="12" fillId="31" borderId="53" xfId="3" applyFont="1" applyFill="1" applyBorder="1" applyAlignment="1">
      <alignment horizontal="center" vertical="center"/>
    </xf>
    <xf numFmtId="165" fontId="12" fillId="31" borderId="85" xfId="2" applyFont="1" applyFill="1" applyBorder="1" applyAlignment="1">
      <alignment horizontal="left" vertical="center"/>
    </xf>
    <xf numFmtId="174" fontId="12" fillId="0" borderId="53" xfId="2" applyNumberFormat="1" applyFont="1" applyBorder="1" applyAlignment="1">
      <alignment horizontal="left" vertical="center"/>
    </xf>
    <xf numFmtId="174" fontId="12" fillId="0" borderId="30" xfId="3" applyNumberFormat="1" applyFont="1" applyBorder="1" applyAlignment="1">
      <alignment horizontal="center" vertical="center"/>
    </xf>
    <xf numFmtId="174" fontId="12" fillId="31" borderId="53" xfId="2" applyNumberFormat="1" applyFont="1" applyFill="1" applyBorder="1" applyAlignment="1">
      <alignment horizontal="left" vertical="center"/>
    </xf>
    <xf numFmtId="174" fontId="12" fillId="31" borderId="30" xfId="3" applyNumberFormat="1" applyFont="1" applyFill="1" applyBorder="1" applyAlignment="1">
      <alignment horizontal="center" vertical="center"/>
    </xf>
    <xf numFmtId="0" fontId="12" fillId="31" borderId="23" xfId="3" applyFont="1" applyFill="1" applyBorder="1" applyAlignment="1">
      <alignment horizontal="center" vertical="center"/>
    </xf>
    <xf numFmtId="0" fontId="12" fillId="0" borderId="51" xfId="3" applyFont="1" applyBorder="1" applyAlignment="1">
      <alignment horizontal="center" vertical="center"/>
    </xf>
    <xf numFmtId="0" fontId="12" fillId="31" borderId="52" xfId="3" applyFont="1" applyFill="1" applyBorder="1" applyAlignment="1">
      <alignment horizontal="center" vertical="center"/>
    </xf>
    <xf numFmtId="0" fontId="12" fillId="31" borderId="51" xfId="3" applyFont="1" applyFill="1" applyBorder="1" applyAlignment="1">
      <alignment horizontal="center" vertical="center"/>
    </xf>
    <xf numFmtId="0" fontId="7" fillId="0" borderId="22" xfId="3" applyFont="1" applyBorder="1"/>
    <xf numFmtId="0" fontId="12" fillId="0" borderId="79" xfId="3" applyFont="1" applyBorder="1"/>
    <xf numFmtId="170" fontId="12" fillId="0" borderId="50" xfId="3" applyNumberFormat="1" applyFont="1" applyBorder="1" applyAlignment="1">
      <alignment horizontal="center"/>
    </xf>
    <xf numFmtId="0" fontId="12" fillId="0" borderId="107" xfId="3" applyFont="1" applyBorder="1"/>
    <xf numFmtId="0" fontId="12" fillId="0" borderId="80" xfId="3" applyFont="1" applyBorder="1"/>
    <xf numFmtId="0" fontId="7" fillId="0" borderId="81" xfId="3" applyFont="1" applyBorder="1"/>
    <xf numFmtId="0" fontId="7" fillId="0" borderId="90" xfId="3" applyFont="1" applyBorder="1" applyAlignment="1">
      <alignment horizontal="center"/>
    </xf>
    <xf numFmtId="10" fontId="12" fillId="0" borderId="90" xfId="3" applyNumberFormat="1" applyFont="1" applyBorder="1" applyAlignment="1">
      <alignment horizontal="center"/>
    </xf>
    <xf numFmtId="170" fontId="12" fillId="0" borderId="82" xfId="3" applyNumberFormat="1" applyFont="1" applyBorder="1" applyAlignment="1">
      <alignment horizontal="center"/>
    </xf>
    <xf numFmtId="0" fontId="16" fillId="0" borderId="32" xfId="3" applyFont="1" applyBorder="1" applyAlignment="1">
      <alignment horizontal="center" vertical="center" wrapText="1"/>
    </xf>
    <xf numFmtId="0" fontId="16" fillId="0" borderId="75" xfId="3" applyFont="1" applyBorder="1" applyAlignment="1">
      <alignment horizontal="center" vertical="center" wrapText="1"/>
    </xf>
    <xf numFmtId="0" fontId="16" fillId="0" borderId="91" xfId="3" applyFont="1" applyBorder="1" applyAlignment="1">
      <alignment horizontal="center" vertical="center" wrapText="1"/>
    </xf>
    <xf numFmtId="0" fontId="16" fillId="0" borderId="88" xfId="3" applyFont="1" applyBorder="1" applyAlignment="1">
      <alignment horizontal="center" vertical="center" wrapText="1"/>
    </xf>
    <xf numFmtId="0" fontId="12" fillId="16" borderId="52" xfId="3" applyFont="1" applyFill="1" applyBorder="1" applyAlignment="1">
      <alignment horizontal="center" vertical="center"/>
    </xf>
    <xf numFmtId="0" fontId="12" fillId="16" borderId="23" xfId="3" applyFont="1" applyFill="1" applyBorder="1" applyAlignment="1">
      <alignment horizontal="center" vertical="center"/>
    </xf>
    <xf numFmtId="0" fontId="12" fillId="16" borderId="51" xfId="3" applyFont="1" applyFill="1" applyBorder="1" applyAlignment="1">
      <alignment horizontal="center" vertical="center"/>
    </xf>
    <xf numFmtId="0" fontId="12" fillId="16" borderId="53" xfId="3" applyFont="1" applyFill="1" applyBorder="1" applyAlignment="1">
      <alignment horizontal="center" vertical="center"/>
    </xf>
    <xf numFmtId="0" fontId="12" fillId="0" borderId="109" xfId="3" applyFont="1" applyBorder="1" applyAlignment="1">
      <alignment horizontal="center" vertical="center"/>
    </xf>
    <xf numFmtId="0" fontId="12" fillId="0" borderId="99" xfId="3" applyFont="1" applyBorder="1" applyAlignment="1">
      <alignment horizontal="center" vertical="center"/>
    </xf>
    <xf numFmtId="0" fontId="12" fillId="0" borderId="101" xfId="3" applyFont="1" applyBorder="1" applyAlignment="1">
      <alignment horizontal="center" vertical="center"/>
    </xf>
    <xf numFmtId="174" fontId="12" fillId="0" borderId="89" xfId="3" applyNumberFormat="1" applyFont="1" applyBorder="1" applyAlignment="1">
      <alignment horizontal="center" vertical="center"/>
    </xf>
    <xf numFmtId="0" fontId="16" fillId="6" borderId="31" xfId="3" applyFont="1" applyFill="1" applyBorder="1" applyAlignment="1">
      <alignment horizontal="center" vertical="center" wrapText="1"/>
    </xf>
    <xf numFmtId="0" fontId="16" fillId="6" borderId="97" xfId="3" applyFont="1" applyFill="1" applyBorder="1" applyAlignment="1">
      <alignment horizontal="center" vertical="center" wrapText="1"/>
    </xf>
    <xf numFmtId="0" fontId="16" fillId="6" borderId="32" xfId="3" applyFont="1" applyFill="1" applyBorder="1" applyAlignment="1">
      <alignment horizontal="center" vertical="center" wrapText="1"/>
    </xf>
    <xf numFmtId="0" fontId="16" fillId="6" borderId="74" xfId="3" applyFont="1" applyFill="1" applyBorder="1" applyAlignment="1">
      <alignment horizontal="center" vertical="center" wrapText="1"/>
    </xf>
    <xf numFmtId="0" fontId="16" fillId="6" borderId="72" xfId="3" applyFont="1" applyFill="1" applyBorder="1" applyAlignment="1">
      <alignment horizontal="center" vertical="center" wrapText="1"/>
    </xf>
    <xf numFmtId="0" fontId="16" fillId="6" borderId="73" xfId="3" applyFont="1" applyFill="1" applyBorder="1" applyAlignment="1">
      <alignment horizontal="center" vertical="center" wrapText="1"/>
    </xf>
    <xf numFmtId="0" fontId="12" fillId="31" borderId="110" xfId="3" applyFont="1" applyFill="1" applyBorder="1" applyAlignment="1">
      <alignment horizontal="center" vertical="center"/>
    </xf>
    <xf numFmtId="0" fontId="12" fillId="31" borderId="26" xfId="3" applyFont="1" applyFill="1" applyBorder="1" applyAlignment="1">
      <alignment horizontal="center" vertical="center"/>
    </xf>
    <xf numFmtId="0" fontId="12" fillId="31" borderId="111" xfId="3" applyFont="1" applyFill="1" applyBorder="1" applyAlignment="1">
      <alignment horizontal="center" vertical="center"/>
    </xf>
    <xf numFmtId="0" fontId="12" fillId="31" borderId="112" xfId="3" applyFont="1" applyFill="1" applyBorder="1" applyAlignment="1">
      <alignment horizontal="center" vertical="center"/>
    </xf>
    <xf numFmtId="174" fontId="12" fillId="31" borderId="112" xfId="2" applyNumberFormat="1" applyFont="1" applyFill="1" applyBorder="1" applyAlignment="1">
      <alignment horizontal="left" vertical="center"/>
    </xf>
    <xf numFmtId="165" fontId="18" fillId="4" borderId="73" xfId="3" applyNumberFormat="1" applyFont="1" applyFill="1" applyBorder="1" applyAlignment="1">
      <alignment horizontal="left" vertical="center" wrapText="1"/>
    </xf>
    <xf numFmtId="0" fontId="12" fillId="14" borderId="107" xfId="3" applyFont="1" applyFill="1" applyBorder="1" applyAlignment="1">
      <alignment horizontal="center" vertical="center" wrapText="1"/>
    </xf>
    <xf numFmtId="165" fontId="12" fillId="0" borderId="113" xfId="3" applyNumberFormat="1" applyFont="1" applyBorder="1" applyAlignment="1">
      <alignment horizontal="left" vertical="center" wrapText="1"/>
    </xf>
    <xf numFmtId="165" fontId="18" fillId="4" borderId="73" xfId="3" applyNumberFormat="1" applyFont="1" applyFill="1" applyBorder="1"/>
    <xf numFmtId="165" fontId="12" fillId="0" borderId="28" xfId="3" applyNumberFormat="1" applyFont="1" applyBorder="1"/>
    <xf numFmtId="165" fontId="12" fillId="0" borderId="85" xfId="3" applyNumberFormat="1" applyFont="1" applyBorder="1"/>
    <xf numFmtId="0" fontId="7" fillId="0" borderId="29" xfId="3" applyFont="1" applyBorder="1" applyAlignment="1">
      <alignment horizontal="center"/>
    </xf>
    <xf numFmtId="10" fontId="12" fillId="0" borderId="56" xfId="3" applyNumberFormat="1" applyFont="1" applyBorder="1" applyAlignment="1">
      <alignment horizontal="center"/>
    </xf>
    <xf numFmtId="170" fontId="12" fillId="0" borderId="98" xfId="3" applyNumberFormat="1" applyFont="1" applyBorder="1" applyAlignment="1">
      <alignment horizontal="center"/>
    </xf>
    <xf numFmtId="0" fontId="16" fillId="0" borderId="33" xfId="3" applyFont="1" applyBorder="1" applyAlignment="1">
      <alignment horizontal="center" vertical="center" wrapText="1"/>
    </xf>
    <xf numFmtId="4" fontId="12" fillId="31" borderId="53" xfId="2" applyNumberFormat="1" applyFont="1" applyFill="1" applyBorder="1" applyAlignment="1">
      <alignment horizontal="center" vertical="center"/>
    </xf>
    <xf numFmtId="4" fontId="12" fillId="0" borderId="53" xfId="2" applyNumberFormat="1" applyFont="1" applyBorder="1" applyAlignment="1">
      <alignment horizontal="center" vertical="center"/>
    </xf>
    <xf numFmtId="4" fontId="12" fillId="16" borderId="53" xfId="2" applyNumberFormat="1" applyFont="1" applyFill="1" applyBorder="1" applyAlignment="1">
      <alignment horizontal="center" vertical="center"/>
    </xf>
    <xf numFmtId="4" fontId="12" fillId="31" borderId="112" xfId="2" applyNumberFormat="1" applyFont="1" applyFill="1" applyBorder="1" applyAlignment="1">
      <alignment horizontal="center" vertical="center"/>
    </xf>
    <xf numFmtId="168" fontId="12" fillId="16" borderId="25" xfId="3" applyNumberFormat="1" applyFont="1" applyFill="1" applyBorder="1" applyAlignment="1">
      <alignment horizontal="center" vertical="center" wrapText="1"/>
    </xf>
    <xf numFmtId="1" fontId="12" fillId="16" borderId="25" xfId="3" applyNumberFormat="1" applyFont="1" applyFill="1" applyBorder="1" applyAlignment="1">
      <alignment horizontal="center" vertical="center" wrapText="1"/>
    </xf>
    <xf numFmtId="165" fontId="12" fillId="16" borderId="25" xfId="2" applyFont="1" applyFill="1" applyBorder="1"/>
    <xf numFmtId="165" fontId="12" fillId="16" borderId="25" xfId="3" applyNumberFormat="1" applyFont="1" applyFill="1" applyBorder="1" applyAlignment="1">
      <alignment horizontal="left" vertical="center" wrapText="1"/>
    </xf>
    <xf numFmtId="165" fontId="12" fillId="16" borderId="50" xfId="3" applyNumberFormat="1" applyFont="1" applyFill="1" applyBorder="1" applyAlignment="1">
      <alignment horizontal="left"/>
    </xf>
    <xf numFmtId="9" fontId="7" fillId="0" borderId="114" xfId="3" applyNumberFormat="1" applyFont="1" applyBorder="1" applyAlignment="1">
      <alignment horizontal="center"/>
    </xf>
    <xf numFmtId="9" fontId="7" fillId="0" borderId="44" xfId="3" applyNumberFormat="1" applyFont="1" applyBorder="1" applyAlignment="1">
      <alignment horizontal="center"/>
    </xf>
    <xf numFmtId="0" fontId="32" fillId="0" borderId="114" xfId="3" applyFont="1" applyBorder="1"/>
    <xf numFmtId="0" fontId="32" fillId="0" borderId="59" xfId="3" applyFont="1" applyBorder="1"/>
    <xf numFmtId="0" fontId="29" fillId="16" borderId="0" xfId="3" applyFont="1" applyFill="1" applyAlignment="1">
      <alignment vertical="center"/>
    </xf>
    <xf numFmtId="0" fontId="29" fillId="6" borderId="43" xfId="3" applyFont="1" applyFill="1" applyBorder="1" applyAlignment="1">
      <alignment horizontal="center"/>
    </xf>
    <xf numFmtId="9" fontId="7" fillId="0" borderId="58" xfId="3" applyNumberFormat="1" applyFont="1" applyBorder="1" applyAlignment="1">
      <alignment horizontal="center"/>
    </xf>
    <xf numFmtId="9" fontId="7" fillId="0" borderId="43" xfId="3" applyNumberFormat="1" applyFont="1" applyBorder="1" applyAlignment="1">
      <alignment horizontal="center"/>
    </xf>
    <xf numFmtId="9" fontId="7" fillId="0" borderId="61" xfId="3" applyNumberFormat="1" applyFont="1" applyBorder="1" applyAlignment="1">
      <alignment horizontal="center"/>
    </xf>
    <xf numFmtId="0" fontId="32" fillId="0" borderId="0" xfId="3" applyFont="1"/>
    <xf numFmtId="165" fontId="12" fillId="0" borderId="0" xfId="3" applyNumberFormat="1" applyFont="1" applyAlignment="1">
      <alignment vertical="center"/>
    </xf>
    <xf numFmtId="4" fontId="6" fillId="0" borderId="0" xfId="3" applyNumberFormat="1" applyAlignment="1">
      <alignment vertical="center"/>
    </xf>
    <xf numFmtId="165" fontId="7" fillId="0" borderId="0" xfId="3" applyNumberFormat="1" applyFont="1" applyAlignment="1">
      <alignment vertical="center"/>
    </xf>
    <xf numFmtId="0" fontId="10" fillId="0" borderId="40" xfId="3" applyFont="1" applyBorder="1" applyAlignment="1">
      <alignment horizontal="center" vertical="center"/>
    </xf>
    <xf numFmtId="165" fontId="9" fillId="16" borderId="0" xfId="3" applyNumberFormat="1" applyFont="1" applyFill="1"/>
    <xf numFmtId="165" fontId="21" fillId="14" borderId="0" xfId="3" applyNumberFormat="1" applyFont="1" applyFill="1" applyAlignment="1">
      <alignment horizontal="center" vertical="center"/>
    </xf>
    <xf numFmtId="0" fontId="48" fillId="0" borderId="96" xfId="3" applyFont="1" applyBorder="1"/>
    <xf numFmtId="0" fontId="48" fillId="0" borderId="106" xfId="3" applyFont="1" applyBorder="1"/>
    <xf numFmtId="0" fontId="48" fillId="0" borderId="59" xfId="3" applyFont="1" applyBorder="1"/>
    <xf numFmtId="0" fontId="10" fillId="10" borderId="34" xfId="3" applyFont="1" applyFill="1" applyBorder="1" applyAlignment="1">
      <alignment horizontal="center" vertical="center" wrapText="1"/>
    </xf>
    <xf numFmtId="0" fontId="10" fillId="0" borderId="33" xfId="3" applyFont="1" applyBorder="1" applyAlignment="1">
      <alignment horizontal="center" vertical="center" wrapText="1"/>
    </xf>
    <xf numFmtId="0" fontId="9" fillId="0" borderId="26" xfId="3" applyFont="1" applyBorder="1"/>
    <xf numFmtId="0" fontId="12" fillId="0" borderId="28" xfId="3" applyFont="1" applyBorder="1" applyAlignment="1">
      <alignment horizontal="center" vertical="center"/>
    </xf>
    <xf numFmtId="168" fontId="12" fillId="0" borderId="28" xfId="3" applyNumberFormat="1" applyFont="1" applyBorder="1" applyAlignment="1">
      <alignment horizontal="center"/>
    </xf>
    <xf numFmtId="0" fontId="12" fillId="0" borderId="29" xfId="3" applyFont="1" applyBorder="1" applyAlignment="1">
      <alignment horizontal="center" vertical="center"/>
    </xf>
    <xf numFmtId="0" fontId="12" fillId="0" borderId="29" xfId="3" applyFont="1" applyBorder="1" applyAlignment="1">
      <alignment horizontal="center"/>
    </xf>
    <xf numFmtId="168" fontId="12" fillId="0" borderId="29" xfId="3" applyNumberFormat="1" applyFont="1" applyBorder="1" applyAlignment="1">
      <alignment horizontal="center" vertical="center"/>
    </xf>
    <xf numFmtId="168" fontId="12" fillId="0" borderId="29" xfId="3" applyNumberFormat="1" applyFont="1" applyBorder="1" applyAlignment="1">
      <alignment horizontal="center" vertical="center" wrapText="1"/>
    </xf>
    <xf numFmtId="171" fontId="12" fillId="0" borderId="29" xfId="3" applyNumberFormat="1" applyFont="1" applyBorder="1" applyAlignment="1">
      <alignment horizontal="center" vertical="center" wrapText="1"/>
    </xf>
    <xf numFmtId="165" fontId="12" fillId="0" borderId="29" xfId="3" applyNumberFormat="1" applyFont="1" applyBorder="1" applyAlignment="1">
      <alignment horizontal="left" vertical="center" wrapText="1"/>
    </xf>
    <xf numFmtId="0" fontId="12" fillId="0" borderId="29" xfId="3" applyFont="1" applyBorder="1" applyAlignment="1">
      <alignment horizontal="center" vertical="center" wrapText="1"/>
    </xf>
    <xf numFmtId="165" fontId="12" fillId="0" borderId="98" xfId="3" applyNumberFormat="1" applyFont="1" applyBorder="1" applyAlignment="1">
      <alignment horizontal="left"/>
    </xf>
    <xf numFmtId="3" fontId="12" fillId="0" borderId="28" xfId="3" applyNumberFormat="1" applyFont="1" applyBorder="1" applyAlignment="1">
      <alignment horizontal="center" vertical="center" wrapText="1"/>
    </xf>
    <xf numFmtId="1" fontId="12" fillId="0" borderId="28" xfId="3" applyNumberFormat="1" applyFont="1" applyBorder="1" applyAlignment="1">
      <alignment horizontal="center" vertical="center" wrapText="1"/>
    </xf>
    <xf numFmtId="165" fontId="12" fillId="0" borderId="28" xfId="3" applyNumberFormat="1" applyFont="1" applyBorder="1" applyAlignment="1">
      <alignment horizontal="left" vertical="center" wrapText="1"/>
    </xf>
    <xf numFmtId="165" fontId="12" fillId="0" borderId="85" xfId="3" applyNumberFormat="1" applyFont="1" applyBorder="1" applyAlignment="1">
      <alignment horizontal="left"/>
    </xf>
    <xf numFmtId="168" fontId="12" fillId="0" borderId="28" xfId="3" applyNumberFormat="1" applyFont="1" applyBorder="1" applyAlignment="1">
      <alignment horizontal="center" vertical="center" wrapText="1"/>
    </xf>
    <xf numFmtId="0" fontId="12" fillId="0" borderId="28" xfId="3" applyFont="1" applyBorder="1" applyAlignment="1">
      <alignment horizontal="center"/>
    </xf>
    <xf numFmtId="1" fontId="12" fillId="0" borderId="29" xfId="3" applyNumberFormat="1" applyFont="1" applyBorder="1" applyAlignment="1">
      <alignment horizontal="center" vertical="center" wrapText="1"/>
    </xf>
    <xf numFmtId="0" fontId="10" fillId="4" borderId="107" xfId="3" applyFont="1" applyFill="1" applyBorder="1" applyAlignment="1">
      <alignment horizontal="left"/>
    </xf>
    <xf numFmtId="0" fontId="9" fillId="0" borderId="113" xfId="3" applyFont="1" applyBorder="1"/>
    <xf numFmtId="168" fontId="12" fillId="0" borderId="56" xfId="3" applyNumberFormat="1" applyFont="1" applyBorder="1" applyAlignment="1">
      <alignment horizontal="right"/>
    </xf>
    <xf numFmtId="0" fontId="16" fillId="0" borderId="0" xfId="3" applyFont="1" applyAlignment="1">
      <alignment horizontal="center" vertical="center" wrapText="1"/>
    </xf>
    <xf numFmtId="0" fontId="15" fillId="0" borderId="0" xfId="3" applyFont="1" applyAlignment="1">
      <alignment horizontal="left"/>
    </xf>
    <xf numFmtId="0" fontId="34" fillId="0" borderId="0" xfId="3" applyFont="1"/>
    <xf numFmtId="165" fontId="15" fillId="0" borderId="0" xfId="3" applyNumberFormat="1" applyFont="1"/>
    <xf numFmtId="0" fontId="15" fillId="0" borderId="0" xfId="3" applyFont="1" applyAlignment="1">
      <alignment horizontal="center"/>
    </xf>
    <xf numFmtId="168" fontId="12" fillId="11" borderId="29" xfId="3" applyNumberFormat="1" applyFont="1" applyFill="1" applyBorder="1" applyAlignment="1">
      <alignment horizontal="center"/>
    </xf>
    <xf numFmtId="165" fontId="12" fillId="11" borderId="29" xfId="3" applyNumberFormat="1" applyFont="1" applyFill="1" applyBorder="1" applyAlignment="1">
      <alignment horizontal="right"/>
    </xf>
    <xf numFmtId="165" fontId="12" fillId="11" borderId="98" xfId="3" applyNumberFormat="1" applyFont="1" applyFill="1" applyBorder="1"/>
    <xf numFmtId="0" fontId="10" fillId="0" borderId="0" xfId="3" applyFont="1" applyAlignment="1">
      <alignment horizontal="center" vertical="center"/>
    </xf>
    <xf numFmtId="10" fontId="42" fillId="14" borderId="0" xfId="3" applyNumberFormat="1" applyFont="1" applyFill="1" applyAlignment="1">
      <alignment horizontal="center" vertical="center"/>
    </xf>
    <xf numFmtId="0" fontId="20" fillId="14" borderId="0" xfId="3" applyFont="1" applyFill="1" applyAlignment="1">
      <alignment horizontal="center" vertical="center"/>
    </xf>
    <xf numFmtId="9" fontId="27" fillId="10" borderId="34" xfId="5" applyFont="1" applyFill="1" applyBorder="1" applyAlignment="1">
      <alignment horizontal="center" vertical="center"/>
    </xf>
    <xf numFmtId="10" fontId="7" fillId="0" borderId="0" xfId="7" applyNumberFormat="1" applyFont="1" applyAlignment="1">
      <alignment horizontal="left"/>
    </xf>
    <xf numFmtId="10" fontId="15" fillId="10" borderId="49" xfId="7" applyNumberFormat="1" applyFont="1" applyFill="1" applyBorder="1" applyAlignment="1">
      <alignment horizontal="center"/>
    </xf>
    <xf numFmtId="10" fontId="15" fillId="10" borderId="34" xfId="7" applyNumberFormat="1" applyFont="1" applyFill="1" applyBorder="1" applyAlignment="1">
      <alignment horizontal="center"/>
    </xf>
    <xf numFmtId="10" fontId="15" fillId="43" borderId="34" xfId="7" applyNumberFormat="1" applyFont="1" applyFill="1" applyBorder="1" applyAlignment="1">
      <alignment horizontal="center" wrapText="1"/>
    </xf>
    <xf numFmtId="165" fontId="7" fillId="0" borderId="0" xfId="3" applyNumberFormat="1" applyFont="1" applyAlignment="1">
      <alignment horizontal="left"/>
    </xf>
    <xf numFmtId="10" fontId="16" fillId="26" borderId="72" xfId="3" applyNumberFormat="1" applyFont="1" applyFill="1" applyBorder="1" applyAlignment="1">
      <alignment horizontal="center"/>
    </xf>
    <xf numFmtId="0" fontId="7" fillId="0" borderId="0" xfId="3" applyFont="1" applyAlignment="1">
      <alignment horizontal="left" vertical="center"/>
    </xf>
    <xf numFmtId="10" fontId="14" fillId="10" borderId="74" xfId="3" applyNumberFormat="1" applyFont="1" applyFill="1" applyBorder="1" applyAlignment="1">
      <alignment horizontal="center" vertical="center"/>
    </xf>
    <xf numFmtId="165" fontId="26" fillId="16" borderId="0" xfId="2" applyFont="1" applyFill="1" applyBorder="1" applyAlignment="1">
      <alignment horizontal="center" vertical="center"/>
    </xf>
    <xf numFmtId="0" fontId="7" fillId="0" borderId="0" xfId="3" applyFont="1" applyAlignment="1">
      <alignment horizontal="right" vertical="center"/>
    </xf>
    <xf numFmtId="0" fontId="7" fillId="16" borderId="0" xfId="3" applyFont="1" applyFill="1"/>
    <xf numFmtId="171" fontId="7" fillId="16" borderId="0" xfId="3" applyNumberFormat="1" applyFont="1" applyFill="1" applyAlignment="1">
      <alignment horizontal="center"/>
    </xf>
    <xf numFmtId="0" fontId="49" fillId="15" borderId="0" xfId="3" applyFont="1" applyFill="1" applyAlignment="1">
      <alignment horizontal="center" vertical="center"/>
    </xf>
    <xf numFmtId="170" fontId="25" fillId="15" borderId="0" xfId="3" applyNumberFormat="1" applyFont="1" applyFill="1" applyAlignment="1">
      <alignment horizontal="center" vertical="center"/>
    </xf>
    <xf numFmtId="10" fontId="50" fillId="16" borderId="0" xfId="7" applyNumberFormat="1" applyFont="1" applyFill="1" applyBorder="1" applyAlignment="1">
      <alignment horizontal="center" vertical="center"/>
    </xf>
    <xf numFmtId="175" fontId="25" fillId="32" borderId="34" xfId="3" applyNumberFormat="1" applyFont="1" applyFill="1" applyBorder="1" applyAlignment="1">
      <alignment horizontal="center" vertical="center"/>
    </xf>
    <xf numFmtId="10" fontId="15" fillId="10" borderId="92" xfId="3" applyNumberFormat="1" applyFont="1" applyFill="1" applyBorder="1" applyAlignment="1">
      <alignment horizontal="center" vertical="center"/>
    </xf>
    <xf numFmtId="0" fontId="15" fillId="0" borderId="65" xfId="3" applyFont="1" applyBorder="1" applyAlignment="1">
      <alignment vertical="center"/>
    </xf>
    <xf numFmtId="165" fontId="19" fillId="13" borderId="116" xfId="3" applyNumberFormat="1" applyFont="1" applyFill="1" applyBorder="1" applyAlignment="1">
      <alignment horizontal="center" vertical="center"/>
    </xf>
    <xf numFmtId="165" fontId="19" fillId="13" borderId="105" xfId="3" applyNumberFormat="1" applyFont="1" applyFill="1" applyBorder="1" applyAlignment="1">
      <alignment horizontal="center" vertical="center"/>
    </xf>
    <xf numFmtId="0" fontId="12" fillId="0" borderId="77" xfId="3" applyFont="1" applyBorder="1" applyAlignment="1">
      <alignment horizontal="right" vertical="center"/>
    </xf>
    <xf numFmtId="0" fontId="15" fillId="0" borderId="40" xfId="3" applyFont="1" applyBorder="1"/>
    <xf numFmtId="0" fontId="6" fillId="0" borderId="40" xfId="3" applyBorder="1"/>
    <xf numFmtId="0" fontId="6" fillId="0" borderId="42" xfId="3" applyBorder="1"/>
    <xf numFmtId="0" fontId="7" fillId="0" borderId="44" xfId="3" applyFont="1" applyBorder="1"/>
    <xf numFmtId="0" fontId="6" fillId="0" borderId="44" xfId="3" applyBorder="1"/>
    <xf numFmtId="171" fontId="7" fillId="0" borderId="44" xfId="3" applyNumberFormat="1" applyFont="1" applyBorder="1" applyAlignment="1">
      <alignment horizontal="center"/>
    </xf>
    <xf numFmtId="165" fontId="19" fillId="36" borderId="105" xfId="3" applyNumberFormat="1" applyFont="1" applyFill="1" applyBorder="1" applyAlignment="1">
      <alignment horizontal="center" vertical="center"/>
    </xf>
    <xf numFmtId="0" fontId="51" fillId="11" borderId="34" xfId="3" applyFont="1" applyFill="1" applyBorder="1" applyAlignment="1">
      <alignment horizontal="center" vertical="center" wrapText="1"/>
    </xf>
    <xf numFmtId="0" fontId="52" fillId="27" borderId="34" xfId="3" applyFont="1" applyFill="1" applyBorder="1" applyAlignment="1">
      <alignment horizontal="center" vertical="center" wrapText="1"/>
    </xf>
    <xf numFmtId="0" fontId="12" fillId="0" borderId="100" xfId="3" applyFont="1" applyBorder="1" applyAlignment="1">
      <alignment horizontal="left" vertical="center"/>
    </xf>
    <xf numFmtId="0" fontId="12" fillId="31" borderId="52" xfId="3" applyFont="1" applyFill="1" applyBorder="1" applyAlignment="1">
      <alignment horizontal="left" vertical="center"/>
    </xf>
    <xf numFmtId="0" fontId="12" fillId="0" borderId="52" xfId="3" applyFont="1" applyBorder="1" applyAlignment="1">
      <alignment horizontal="left" vertical="center"/>
    </xf>
    <xf numFmtId="165" fontId="0" fillId="0" borderId="0" xfId="0" applyNumberFormat="1"/>
    <xf numFmtId="10" fontId="0" fillId="0" borderId="0" xfId="7" applyNumberFormat="1" applyFont="1"/>
    <xf numFmtId="10" fontId="37" fillId="6" borderId="121" xfId="0" applyNumberFormat="1" applyFont="1" applyFill="1" applyBorder="1"/>
    <xf numFmtId="165" fontId="37" fillId="6" borderId="14" xfId="2" applyFont="1" applyFill="1" applyBorder="1" applyAlignment="1"/>
    <xf numFmtId="10" fontId="37" fillId="6" borderId="122" xfId="7" applyNumberFormat="1" applyFont="1" applyFill="1" applyBorder="1" applyAlignment="1"/>
    <xf numFmtId="174" fontId="37" fillId="6" borderId="14" xfId="0" applyNumberFormat="1" applyFont="1" applyFill="1" applyBorder="1"/>
    <xf numFmtId="0" fontId="22" fillId="6" borderId="14" xfId="0" applyFont="1" applyFill="1" applyBorder="1" applyAlignment="1">
      <alignment horizontal="left" vertical="center" wrapText="1"/>
    </xf>
    <xf numFmtId="0" fontId="22" fillId="6" borderId="14" xfId="0" applyFont="1" applyFill="1" applyBorder="1" applyAlignment="1">
      <alignment horizontal="right" vertical="center" wrapText="1"/>
    </xf>
    <xf numFmtId="0" fontId="22" fillId="6" borderId="129" xfId="0" applyFont="1" applyFill="1" applyBorder="1" applyAlignment="1">
      <alignment horizontal="left" vertical="center" wrapText="1"/>
    </xf>
    <xf numFmtId="0" fontId="22" fillId="6" borderId="129" xfId="0" applyFont="1" applyFill="1" applyBorder="1" applyAlignment="1">
      <alignment horizontal="right" vertical="center" wrapText="1"/>
    </xf>
    <xf numFmtId="0" fontId="0" fillId="6" borderId="14" xfId="0" applyFill="1" applyBorder="1"/>
    <xf numFmtId="0" fontId="22" fillId="6" borderId="7" xfId="0" applyFont="1" applyFill="1" applyBorder="1" applyAlignment="1">
      <alignment horizontal="center" vertical="center" wrapText="1"/>
    </xf>
    <xf numFmtId="0" fontId="22" fillId="6" borderId="125" xfId="0" applyFont="1" applyFill="1" applyBorder="1" applyAlignment="1">
      <alignment horizontal="center" vertical="center" wrapText="1"/>
    </xf>
    <xf numFmtId="0" fontId="22" fillId="6" borderId="121" xfId="0" applyFont="1" applyFill="1" applyBorder="1" applyAlignment="1">
      <alignment horizontal="right" vertical="center" wrapText="1"/>
    </xf>
    <xf numFmtId="4" fontId="22" fillId="6" borderId="14" xfId="0" applyNumberFormat="1" applyFont="1" applyFill="1" applyBorder="1" applyAlignment="1">
      <alignment horizontal="left" vertical="center" wrapText="1"/>
    </xf>
    <xf numFmtId="10" fontId="22" fillId="6" borderId="123" xfId="7" applyNumberFormat="1" applyFont="1" applyFill="1" applyBorder="1" applyAlignment="1">
      <alignment horizontal="center" vertical="center" wrapText="1"/>
    </xf>
    <xf numFmtId="0" fontId="22" fillId="6" borderId="128" xfId="0" applyFont="1" applyFill="1" applyBorder="1" applyAlignment="1">
      <alignment horizontal="right" vertical="center" wrapText="1"/>
    </xf>
    <xf numFmtId="4" fontId="22" fillId="6" borderId="129" xfId="0" applyNumberFormat="1" applyFont="1" applyFill="1" applyBorder="1" applyAlignment="1">
      <alignment horizontal="left" vertical="center" wrapText="1"/>
    </xf>
    <xf numFmtId="10" fontId="22" fillId="6" borderId="126" xfId="7" applyNumberFormat="1" applyFont="1" applyFill="1" applyBorder="1" applyAlignment="1">
      <alignment horizontal="center" vertical="center" wrapText="1"/>
    </xf>
    <xf numFmtId="0" fontId="22" fillId="6" borderId="14" xfId="0" applyFont="1" applyFill="1" applyBorder="1" applyAlignment="1">
      <alignment horizontal="left" vertical="center"/>
    </xf>
    <xf numFmtId="0" fontId="22" fillId="6" borderId="14" xfId="0" applyFont="1" applyFill="1" applyBorder="1" applyAlignment="1">
      <alignment horizontal="center" vertical="center"/>
    </xf>
    <xf numFmtId="4" fontId="22" fillId="6" borderId="14" xfId="0" applyNumberFormat="1" applyFont="1" applyFill="1" applyBorder="1" applyAlignment="1">
      <alignment horizontal="left" vertical="center"/>
    </xf>
    <xf numFmtId="4" fontId="22" fillId="6" borderId="129" xfId="0" applyNumberFormat="1" applyFont="1" applyFill="1" applyBorder="1" applyAlignment="1">
      <alignment horizontal="left" vertical="center"/>
    </xf>
    <xf numFmtId="0" fontId="22" fillId="6" borderId="129" xfId="0" applyFont="1" applyFill="1" applyBorder="1" applyAlignment="1">
      <alignment horizontal="center" vertical="center"/>
    </xf>
    <xf numFmtId="0" fontId="22" fillId="6" borderId="117" xfId="0" applyFont="1" applyFill="1" applyBorder="1" applyAlignment="1">
      <alignment horizontal="center" vertical="center"/>
    </xf>
    <xf numFmtId="0" fontId="22" fillId="6" borderId="124" xfId="0" applyFont="1" applyFill="1" applyBorder="1" applyAlignment="1">
      <alignment horizontal="center" vertical="center"/>
    </xf>
    <xf numFmtId="0" fontId="22" fillId="6" borderId="121" xfId="0" applyFont="1" applyFill="1" applyBorder="1" applyAlignment="1">
      <alignment horizontal="center" vertical="center"/>
    </xf>
    <xf numFmtId="4" fontId="22" fillId="6" borderId="21" xfId="0" applyNumberFormat="1" applyFont="1" applyFill="1" applyBorder="1" applyAlignment="1">
      <alignment horizontal="left" vertical="center"/>
    </xf>
    <xf numFmtId="10" fontId="22" fillId="6" borderId="127" xfId="7" applyNumberFormat="1" applyFont="1" applyFill="1" applyBorder="1" applyAlignment="1">
      <alignment horizontal="center" vertical="center"/>
    </xf>
    <xf numFmtId="0" fontId="22" fillId="6" borderId="128" xfId="0" applyFont="1" applyFill="1" applyBorder="1" applyAlignment="1">
      <alignment horizontal="center" vertical="center"/>
    </xf>
    <xf numFmtId="4" fontId="22" fillId="6" borderId="125" xfId="0" applyNumberFormat="1" applyFont="1" applyFill="1" applyBorder="1" applyAlignment="1">
      <alignment horizontal="left" vertical="center"/>
    </xf>
    <xf numFmtId="10" fontId="22" fillId="6" borderId="126" xfId="7" applyNumberFormat="1" applyFont="1" applyFill="1" applyBorder="1" applyAlignment="1">
      <alignment horizontal="center" vertical="center"/>
    </xf>
    <xf numFmtId="0" fontId="0" fillId="0" borderId="0" xfId="7" applyNumberFormat="1" applyFont="1"/>
    <xf numFmtId="9" fontId="7" fillId="0" borderId="0" xfId="7" applyFont="1" applyAlignment="1">
      <alignment horizontal="left"/>
    </xf>
    <xf numFmtId="49" fontId="10" fillId="0" borderId="34" xfId="3" applyNumberFormat="1" applyFont="1" applyBorder="1" applyAlignment="1">
      <alignment horizontal="center" vertical="center"/>
    </xf>
    <xf numFmtId="0" fontId="15" fillId="0" borderId="31" xfId="3" applyFont="1" applyBorder="1" applyAlignment="1">
      <alignment horizontal="center" vertical="center"/>
    </xf>
    <xf numFmtId="49" fontId="10" fillId="0" borderId="131" xfId="3" applyNumberFormat="1" applyFont="1" applyBorder="1" applyAlignment="1">
      <alignment horizontal="center" vertical="center"/>
    </xf>
    <xf numFmtId="14" fontId="11" fillId="0" borderId="131" xfId="3" applyNumberFormat="1" applyFont="1" applyBorder="1" applyAlignment="1">
      <alignment horizontal="center"/>
    </xf>
    <xf numFmtId="49" fontId="10" fillId="0" borderId="34" xfId="3" applyNumberFormat="1" applyFont="1" applyBorder="1" applyAlignment="1">
      <alignment horizontal="centerContinuous" vertical="center" wrapText="1"/>
    </xf>
    <xf numFmtId="0" fontId="9" fillId="0" borderId="34" xfId="3" applyFont="1" applyBorder="1" applyAlignment="1">
      <alignment horizontal="centerContinuous"/>
    </xf>
    <xf numFmtId="14" fontId="11" fillId="0" borderId="34" xfId="3" applyNumberFormat="1" applyFont="1" applyBorder="1" applyAlignment="1">
      <alignment horizontal="center" vertical="center"/>
    </xf>
    <xf numFmtId="0" fontId="10" fillId="0" borderId="34" xfId="3" applyFont="1" applyBorder="1" applyAlignment="1">
      <alignment horizontal="center" vertical="center"/>
    </xf>
    <xf numFmtId="2" fontId="10" fillId="0" borderId="34" xfId="3" applyNumberFormat="1" applyFont="1" applyBorder="1" applyAlignment="1">
      <alignment horizontal="center" vertical="center"/>
    </xf>
    <xf numFmtId="49" fontId="10" fillId="11" borderId="34" xfId="3" applyNumberFormat="1" applyFont="1" applyFill="1" applyBorder="1" applyAlignment="1">
      <alignment horizontal="right" vertical="center"/>
    </xf>
    <xf numFmtId="0" fontId="29" fillId="6" borderId="34" xfId="3" applyFont="1" applyFill="1" applyBorder="1" applyAlignment="1">
      <alignment horizontal="center" vertical="center"/>
    </xf>
    <xf numFmtId="164" fontId="12" fillId="0" borderId="50" xfId="3" applyNumberFormat="1" applyFont="1" applyBorder="1"/>
    <xf numFmtId="164" fontId="16" fillId="7" borderId="50" xfId="3" applyNumberFormat="1" applyFont="1" applyFill="1" applyBorder="1"/>
    <xf numFmtId="164" fontId="12" fillId="0" borderId="29" xfId="3" applyNumberFormat="1" applyFont="1" applyBorder="1"/>
    <xf numFmtId="164" fontId="12" fillId="0" borderId="25" xfId="3" applyNumberFormat="1" applyFont="1" applyBorder="1"/>
    <xf numFmtId="164" fontId="12" fillId="0" borderId="28" xfId="3" applyNumberFormat="1" applyFont="1" applyBorder="1"/>
    <xf numFmtId="164" fontId="12" fillId="0" borderId="98" xfId="3" applyNumberFormat="1" applyFont="1" applyBorder="1"/>
    <xf numFmtId="164" fontId="12" fillId="0" borderId="85" xfId="3" applyNumberFormat="1" applyFont="1" applyBorder="1"/>
    <xf numFmtId="164" fontId="10" fillId="0" borderId="33" xfId="3" applyNumberFormat="1" applyFont="1" applyBorder="1" applyAlignment="1">
      <alignment horizontal="center"/>
    </xf>
    <xf numFmtId="164" fontId="10" fillId="0" borderId="35" xfId="3" applyNumberFormat="1" applyFont="1" applyBorder="1" applyAlignment="1">
      <alignment horizontal="center"/>
    </xf>
    <xf numFmtId="164" fontId="26" fillId="32" borderId="49" xfId="3" applyNumberFormat="1" applyFont="1" applyFill="1" applyBorder="1" applyAlignment="1">
      <alignment horizontal="center" vertical="center"/>
    </xf>
    <xf numFmtId="164" fontId="26" fillId="32" borderId="49" xfId="2" applyNumberFormat="1" applyFont="1" applyFill="1" applyBorder="1" applyAlignment="1">
      <alignment horizontal="center" vertical="center"/>
    </xf>
    <xf numFmtId="164" fontId="30" fillId="0" borderId="57" xfId="3" applyNumberFormat="1" applyFont="1" applyBorder="1" applyAlignment="1">
      <alignment horizontal="center" vertical="center"/>
    </xf>
    <xf numFmtId="164" fontId="30" fillId="0" borderId="60" xfId="3" applyNumberFormat="1" applyFont="1" applyBorder="1" applyAlignment="1">
      <alignment horizontal="center" vertical="center"/>
    </xf>
    <xf numFmtId="164" fontId="29" fillId="21" borderId="57" xfId="3" applyNumberFormat="1" applyFont="1" applyFill="1" applyBorder="1" applyAlignment="1">
      <alignment horizontal="center" vertical="center"/>
    </xf>
    <xf numFmtId="164" fontId="30" fillId="0" borderId="114" xfId="3" applyNumberFormat="1" applyFont="1" applyBorder="1" applyAlignment="1">
      <alignment horizontal="center" vertical="center"/>
    </xf>
    <xf numFmtId="164" fontId="30" fillId="0" borderId="59" xfId="3" applyNumberFormat="1" applyFont="1" applyBorder="1" applyAlignment="1">
      <alignment horizontal="center" vertical="center"/>
    </xf>
    <xf numFmtId="10" fontId="42" fillId="14" borderId="0" xfId="3" applyNumberFormat="1" applyFont="1" applyFill="1" applyAlignment="1">
      <alignment horizontal="left" vertical="center"/>
    </xf>
    <xf numFmtId="178" fontId="10" fillId="44" borderId="93" xfId="5" applyNumberFormat="1" applyFont="1" applyFill="1" applyBorder="1" applyAlignment="1">
      <alignment horizontal="right" vertical="center"/>
    </xf>
    <xf numFmtId="10" fontId="6" fillId="0" borderId="0" xfId="3" applyNumberFormat="1"/>
    <xf numFmtId="0" fontId="56" fillId="2" borderId="1" xfId="0" applyFont="1" applyFill="1" applyBorder="1" applyAlignment="1" applyProtection="1">
      <alignment horizontal="center"/>
      <protection locked="0"/>
    </xf>
    <xf numFmtId="0" fontId="57" fillId="2" borderId="0" xfId="0" applyFont="1" applyFill="1" applyProtection="1">
      <protection locked="0"/>
    </xf>
    <xf numFmtId="0" fontId="57" fillId="2" borderId="1" xfId="0" applyFont="1" applyFill="1" applyBorder="1" applyAlignment="1" applyProtection="1">
      <alignment horizontal="center"/>
      <protection locked="0"/>
    </xf>
    <xf numFmtId="165" fontId="57" fillId="2" borderId="1" xfId="2" applyFont="1" applyFill="1" applyBorder="1" applyAlignment="1" applyProtection="1">
      <alignment horizontal="center"/>
      <protection locked="0"/>
    </xf>
    <xf numFmtId="0" fontId="57" fillId="2" borderId="0" xfId="0" applyFont="1" applyFill="1" applyAlignment="1" applyProtection="1">
      <alignment wrapText="1"/>
      <protection locked="0"/>
    </xf>
    <xf numFmtId="0" fontId="56" fillId="2" borderId="1" xfId="0" applyFont="1" applyFill="1" applyBorder="1" applyAlignment="1" applyProtection="1">
      <alignment horizontal="centerContinuous"/>
      <protection locked="0"/>
    </xf>
    <xf numFmtId="167" fontId="57" fillId="2" borderId="0" xfId="0" applyNumberFormat="1" applyFont="1" applyFill="1" applyProtection="1">
      <protection locked="0"/>
    </xf>
    <xf numFmtId="0" fontId="57" fillId="2" borderId="1" xfId="0" applyFont="1" applyFill="1" applyBorder="1" applyAlignment="1" applyProtection="1">
      <alignment horizontal="centerContinuous"/>
      <protection locked="0"/>
    </xf>
    <xf numFmtId="0" fontId="57" fillId="2" borderId="2" xfId="0" applyFont="1" applyFill="1" applyBorder="1" applyAlignment="1" applyProtection="1">
      <alignment horizontal="centerContinuous"/>
      <protection locked="0"/>
    </xf>
    <xf numFmtId="0" fontId="57" fillId="2" borderId="0" xfId="0" applyFont="1" applyFill="1"/>
    <xf numFmtId="0" fontId="57" fillId="2" borderId="0" xfId="0" applyFont="1" applyFill="1" applyAlignment="1">
      <alignment wrapText="1"/>
    </xf>
    <xf numFmtId="0" fontId="56" fillId="2" borderId="1" xfId="0" applyFont="1" applyFill="1" applyBorder="1" applyAlignment="1">
      <alignment horizontal="left"/>
    </xf>
    <xf numFmtId="0" fontId="58" fillId="2" borderId="0" xfId="0" applyFont="1" applyFill="1" applyAlignment="1">
      <alignment horizontal="right"/>
    </xf>
    <xf numFmtId="0" fontId="58" fillId="2" borderId="0" xfId="0" applyFont="1" applyFill="1" applyAlignment="1">
      <alignment horizontal="left"/>
    </xf>
    <xf numFmtId="0" fontId="57" fillId="2" borderId="0" xfId="0" applyFont="1" applyFill="1" applyAlignment="1">
      <alignment horizontal="right"/>
    </xf>
    <xf numFmtId="0" fontId="57" fillId="2" borderId="0" xfId="0" applyFont="1" applyFill="1" applyAlignment="1">
      <alignment horizontal="left"/>
    </xf>
    <xf numFmtId="0" fontId="10" fillId="17" borderId="132" xfId="3" applyFont="1" applyFill="1" applyBorder="1" applyAlignment="1">
      <alignment horizontal="right" vertical="center"/>
    </xf>
    <xf numFmtId="0" fontId="10" fillId="17" borderId="133" xfId="3" applyFont="1" applyFill="1" applyBorder="1" applyAlignment="1">
      <alignment horizontal="right" vertical="center"/>
    </xf>
    <xf numFmtId="0" fontId="14" fillId="17" borderId="133" xfId="3" applyFont="1" applyFill="1" applyBorder="1" applyAlignment="1">
      <alignment horizontal="right" vertical="center"/>
    </xf>
    <xf numFmtId="175" fontId="21" fillId="40" borderId="134" xfId="3" applyNumberFormat="1" applyFont="1" applyFill="1" applyBorder="1" applyAlignment="1">
      <alignment horizontal="left" vertical="center"/>
    </xf>
    <xf numFmtId="0" fontId="10" fillId="35" borderId="132" xfId="3" applyFont="1" applyFill="1" applyBorder="1" applyAlignment="1">
      <alignment horizontal="right" vertical="center"/>
    </xf>
    <xf numFmtId="0" fontId="41" fillId="10" borderId="133" xfId="3" applyFont="1" applyFill="1" applyBorder="1" applyAlignment="1">
      <alignment horizontal="right" vertical="center"/>
    </xf>
    <xf numFmtId="0" fontId="14" fillId="35" borderId="133" xfId="3" applyFont="1" applyFill="1" applyBorder="1" applyAlignment="1">
      <alignment horizontal="right" vertical="center"/>
    </xf>
    <xf numFmtId="175" fontId="21" fillId="46" borderId="134" xfId="3" applyNumberFormat="1" applyFont="1" applyFill="1" applyBorder="1" applyAlignment="1">
      <alignment horizontal="left" vertical="center"/>
    </xf>
    <xf numFmtId="0" fontId="10" fillId="36" borderId="132" xfId="3" applyFont="1" applyFill="1" applyBorder="1" applyAlignment="1">
      <alignment horizontal="right" vertical="center"/>
    </xf>
    <xf numFmtId="0" fontId="10" fillId="36" borderId="133" xfId="3" applyFont="1" applyFill="1" applyBorder="1" applyAlignment="1">
      <alignment horizontal="right" vertical="center"/>
    </xf>
    <xf numFmtId="0" fontId="14" fillId="36" borderId="133" xfId="3" applyFont="1" applyFill="1" applyBorder="1" applyAlignment="1">
      <alignment horizontal="right" vertical="center"/>
    </xf>
    <xf numFmtId="164" fontId="21" fillId="40" borderId="134" xfId="3" applyNumberFormat="1" applyFont="1" applyFill="1" applyBorder="1" applyAlignment="1">
      <alignment horizontal="left" vertical="center"/>
    </xf>
    <xf numFmtId="0" fontId="10" fillId="37" borderId="132" xfId="3" applyFont="1" applyFill="1" applyBorder="1" applyAlignment="1">
      <alignment horizontal="right" vertical="center"/>
    </xf>
    <xf numFmtId="0" fontId="41" fillId="38" borderId="133" xfId="3" applyFont="1" applyFill="1" applyBorder="1" applyAlignment="1">
      <alignment horizontal="right"/>
    </xf>
    <xf numFmtId="0" fontId="27" fillId="38" borderId="133" xfId="3" applyFont="1" applyFill="1" applyBorder="1" applyAlignment="1">
      <alignment horizontal="right" vertical="center"/>
    </xf>
    <xf numFmtId="164" fontId="21" fillId="46" borderId="134" xfId="3" applyNumberFormat="1" applyFont="1" applyFill="1" applyBorder="1" applyAlignment="1">
      <alignment horizontal="left" vertical="center"/>
    </xf>
    <xf numFmtId="0" fontId="10" fillId="41" borderId="135" xfId="3" applyFont="1" applyFill="1" applyBorder="1" applyAlignment="1">
      <alignment horizontal="right" vertical="center"/>
    </xf>
    <xf numFmtId="0" fontId="14" fillId="41" borderId="135" xfId="3" applyFont="1" applyFill="1" applyBorder="1" applyAlignment="1">
      <alignment horizontal="right" vertical="center"/>
    </xf>
    <xf numFmtId="164" fontId="21" fillId="45" borderId="136" xfId="2" applyNumberFormat="1" applyFont="1" applyFill="1" applyBorder="1" applyAlignment="1">
      <alignment horizontal="left" vertical="center"/>
    </xf>
    <xf numFmtId="0" fontId="10" fillId="39" borderId="137" xfId="3" applyFont="1" applyFill="1" applyBorder="1" applyAlignment="1">
      <alignment horizontal="right" vertical="center"/>
    </xf>
    <xf numFmtId="0" fontId="41" fillId="38" borderId="138" xfId="3" applyFont="1" applyFill="1" applyBorder="1" applyAlignment="1">
      <alignment horizontal="right"/>
    </xf>
    <xf numFmtId="0" fontId="27" fillId="38" borderId="138" xfId="3" applyFont="1" applyFill="1" applyBorder="1" applyAlignment="1">
      <alignment horizontal="right" vertical="center"/>
    </xf>
    <xf numFmtId="10" fontId="42" fillId="45" borderId="139" xfId="3" applyNumberFormat="1" applyFont="1" applyFill="1" applyBorder="1" applyAlignment="1">
      <alignment horizontal="left" vertical="center"/>
    </xf>
    <xf numFmtId="0" fontId="10" fillId="41" borderId="140" xfId="3" applyFont="1" applyFill="1" applyBorder="1" applyAlignment="1">
      <alignment horizontal="right" vertical="center"/>
    </xf>
    <xf numFmtId="0" fontId="10" fillId="41" borderId="141" xfId="3" applyFont="1" applyFill="1" applyBorder="1" applyAlignment="1">
      <alignment horizontal="right" vertical="center"/>
    </xf>
    <xf numFmtId="0" fontId="14" fillId="41" borderId="141" xfId="3" applyFont="1" applyFill="1" applyBorder="1" applyAlignment="1">
      <alignment horizontal="right" vertical="center"/>
    </xf>
    <xf numFmtId="164" fontId="21" fillId="46" borderId="142" xfId="3" applyNumberFormat="1" applyFont="1" applyFill="1" applyBorder="1" applyAlignment="1">
      <alignment horizontal="left" vertical="center"/>
    </xf>
    <xf numFmtId="0" fontId="41" fillId="0" borderId="32" xfId="3" applyFont="1" applyBorder="1" applyAlignment="1">
      <alignment horizontal="center"/>
    </xf>
    <xf numFmtId="0" fontId="27" fillId="0" borderId="32" xfId="3" applyFont="1" applyBorder="1" applyAlignment="1">
      <alignment horizontal="right" vertical="center"/>
    </xf>
    <xf numFmtId="10" fontId="40" fillId="0" borderId="33" xfId="3" applyNumberFormat="1" applyFont="1" applyBorder="1" applyAlignment="1">
      <alignment horizontal="center" vertical="center"/>
    </xf>
    <xf numFmtId="0" fontId="10" fillId="41" borderId="143" xfId="3" applyFont="1" applyFill="1" applyBorder="1" applyAlignment="1">
      <alignment horizontal="right" vertical="center"/>
    </xf>
    <xf numFmtId="0" fontId="14" fillId="41" borderId="143" xfId="3" applyFont="1" applyFill="1" applyBorder="1" applyAlignment="1">
      <alignment horizontal="right" vertical="center"/>
    </xf>
    <xf numFmtId="10" fontId="42" fillId="46" borderId="144" xfId="3" applyNumberFormat="1" applyFont="1" applyFill="1" applyBorder="1" applyAlignment="1">
      <alignment horizontal="left" vertical="center"/>
    </xf>
    <xf numFmtId="0" fontId="39" fillId="10" borderId="145" xfId="3" applyFont="1" applyFill="1" applyBorder="1" applyAlignment="1">
      <alignment horizontal="right" vertical="center"/>
    </xf>
    <xf numFmtId="0" fontId="39" fillId="10" borderId="146" xfId="3" applyFont="1" applyFill="1" applyBorder="1" applyAlignment="1">
      <alignment horizontal="right" vertical="center"/>
    </xf>
    <xf numFmtId="178" fontId="14" fillId="10" borderId="146" xfId="5" applyNumberFormat="1" applyFont="1" applyFill="1" applyBorder="1" applyAlignment="1">
      <alignment horizontal="right" vertical="center"/>
    </xf>
    <xf numFmtId="175" fontId="21" fillId="46" borderId="147" xfId="3" applyNumberFormat="1" applyFont="1" applyFill="1" applyBorder="1" applyAlignment="1">
      <alignment horizontal="left" vertical="center"/>
    </xf>
    <xf numFmtId="0" fontId="39" fillId="38" borderId="148" xfId="3" applyFont="1" applyFill="1" applyBorder="1" applyAlignment="1">
      <alignment horizontal="right" vertical="center"/>
    </xf>
    <xf numFmtId="0" fontId="39" fillId="38" borderId="149" xfId="3" applyFont="1" applyFill="1" applyBorder="1" applyAlignment="1">
      <alignment horizontal="right" vertical="center"/>
    </xf>
    <xf numFmtId="178" fontId="14" fillId="38" borderId="149" xfId="5" applyNumberFormat="1" applyFont="1" applyFill="1" applyBorder="1" applyAlignment="1">
      <alignment horizontal="right" vertical="center"/>
    </xf>
    <xf numFmtId="175" fontId="21" fillId="46" borderId="150" xfId="3" applyNumberFormat="1" applyFont="1" applyFill="1" applyBorder="1" applyAlignment="1">
      <alignment horizontal="left" vertical="center"/>
    </xf>
    <xf numFmtId="0" fontId="10" fillId="33" borderId="151" xfId="3" applyFont="1" applyFill="1" applyBorder="1" applyAlignment="1">
      <alignment horizontal="right" vertical="center"/>
    </xf>
    <xf numFmtId="0" fontId="41" fillId="10" borderId="152" xfId="3" applyFont="1" applyFill="1" applyBorder="1" applyAlignment="1">
      <alignment horizontal="right" vertical="center"/>
    </xf>
    <xf numFmtId="0" fontId="14" fillId="33" borderId="152" xfId="3" applyFont="1" applyFill="1" applyBorder="1" applyAlignment="1">
      <alignment horizontal="right" vertical="center"/>
    </xf>
    <xf numFmtId="10" fontId="42" fillId="45" borderId="153" xfId="3" applyNumberFormat="1" applyFont="1" applyFill="1" applyBorder="1" applyAlignment="1">
      <alignment horizontal="left" vertical="center"/>
    </xf>
    <xf numFmtId="0" fontId="60" fillId="47" borderId="25" xfId="0" applyFont="1" applyFill="1" applyBorder="1" applyAlignment="1">
      <alignment horizontal="centerContinuous" vertical="center"/>
    </xf>
    <xf numFmtId="0" fontId="60" fillId="2" borderId="154" xfId="0" applyFont="1" applyFill="1" applyBorder="1" applyAlignment="1">
      <alignment horizontal="right" vertical="center"/>
    </xf>
    <xf numFmtId="10" fontId="60" fillId="2" borderId="24" xfId="7" applyNumberFormat="1" applyFont="1" applyFill="1" applyBorder="1" applyAlignment="1">
      <alignment horizontal="left"/>
    </xf>
    <xf numFmtId="176" fontId="60" fillId="2" borderId="24" xfId="0" applyNumberFormat="1" applyFont="1" applyFill="1" applyBorder="1" applyAlignment="1">
      <alignment horizontal="left"/>
    </xf>
    <xf numFmtId="49" fontId="16" fillId="27" borderId="34" xfId="3" applyNumberFormat="1" applyFont="1" applyFill="1" applyBorder="1" applyAlignment="1">
      <alignment horizontal="center" vertical="center" wrapText="1"/>
    </xf>
    <xf numFmtId="49" fontId="15" fillId="0" borderId="31" xfId="3" applyNumberFormat="1" applyFont="1" applyBorder="1" applyAlignment="1">
      <alignment vertical="center"/>
    </xf>
    <xf numFmtId="0" fontId="9" fillId="0" borderId="32" xfId="3" applyFont="1" applyBorder="1"/>
    <xf numFmtId="0" fontId="26" fillId="0" borderId="33" xfId="3" applyFont="1" applyBorder="1" applyAlignment="1">
      <alignment horizontal="right"/>
    </xf>
    <xf numFmtId="0" fontId="10" fillId="0" borderId="37" xfId="3" applyFont="1" applyBorder="1" applyAlignment="1">
      <alignment vertical="center"/>
    </xf>
    <xf numFmtId="0" fontId="10" fillId="0" borderId="39" xfId="3" applyFont="1" applyBorder="1" applyAlignment="1">
      <alignment vertical="center"/>
    </xf>
    <xf numFmtId="0" fontId="10" fillId="0" borderId="38" xfId="3" applyFont="1" applyBorder="1" applyAlignment="1">
      <alignment vertical="center"/>
    </xf>
    <xf numFmtId="0" fontId="10" fillId="0" borderId="40" xfId="3" applyFont="1" applyBorder="1" applyAlignment="1">
      <alignment vertical="center"/>
    </xf>
    <xf numFmtId="0" fontId="10" fillId="0" borderId="0" xfId="3" applyFont="1" applyAlignment="1">
      <alignment vertical="center"/>
    </xf>
    <xf numFmtId="0" fontId="10" fillId="0" borderId="41" xfId="3" applyFont="1" applyBorder="1" applyAlignment="1">
      <alignment vertical="center"/>
    </xf>
    <xf numFmtId="0" fontId="10" fillId="41" borderId="157" xfId="3" applyFont="1" applyFill="1" applyBorder="1" applyAlignment="1">
      <alignment horizontal="right" vertical="center"/>
    </xf>
    <xf numFmtId="0" fontId="10" fillId="41" borderId="158" xfId="3" applyFont="1" applyFill="1" applyBorder="1" applyAlignment="1">
      <alignment horizontal="right" vertical="center"/>
    </xf>
    <xf numFmtId="0" fontId="10" fillId="41" borderId="42" xfId="3" applyFont="1" applyFill="1" applyBorder="1" applyAlignment="1">
      <alignment horizontal="right" vertical="center"/>
    </xf>
    <xf numFmtId="0" fontId="10" fillId="41" borderId="44" xfId="3" applyFont="1" applyFill="1" applyBorder="1" applyAlignment="1">
      <alignment horizontal="right" vertical="center"/>
    </xf>
    <xf numFmtId="0" fontId="10" fillId="0" borderId="32" xfId="3" applyFont="1" applyBorder="1" applyAlignment="1">
      <alignment horizontal="center" vertical="center"/>
    </xf>
    <xf numFmtId="164" fontId="14" fillId="32" borderId="33" xfId="3" applyNumberFormat="1" applyFont="1" applyFill="1" applyBorder="1" applyAlignment="1">
      <alignment horizontal="left" vertical="center"/>
    </xf>
    <xf numFmtId="0" fontId="59" fillId="3" borderId="1" xfId="0" applyFont="1" applyFill="1" applyBorder="1" applyAlignment="1">
      <alignment vertical="center"/>
    </xf>
    <xf numFmtId="0" fontId="61" fillId="3" borderId="4" xfId="0" applyFont="1" applyFill="1" applyBorder="1" applyAlignment="1" applyProtection="1">
      <alignment horizontal="left" vertical="center" wrapText="1"/>
      <protection locked="0"/>
    </xf>
    <xf numFmtId="0" fontId="61" fillId="3" borderId="3" xfId="0" applyFont="1" applyFill="1" applyBorder="1" applyAlignment="1" applyProtection="1">
      <alignment horizontal="left" vertical="center" wrapText="1"/>
      <protection locked="0"/>
    </xf>
    <xf numFmtId="166" fontId="61" fillId="3" borderId="4" xfId="2" applyNumberFormat="1" applyFont="1" applyFill="1" applyBorder="1" applyAlignment="1" applyProtection="1">
      <alignment horizontal="left" vertical="center" wrapText="1"/>
    </xf>
    <xf numFmtId="1" fontId="61" fillId="3" borderId="4" xfId="0" applyNumberFormat="1" applyFont="1" applyFill="1" applyBorder="1" applyAlignment="1" applyProtection="1">
      <alignment horizontal="left" vertical="center" wrapText="1"/>
      <protection locked="0"/>
    </xf>
    <xf numFmtId="177" fontId="61" fillId="3" borderId="4" xfId="0" applyNumberFormat="1" applyFont="1" applyFill="1" applyBorder="1" applyAlignment="1" applyProtection="1">
      <alignment horizontal="left" vertical="center" wrapText="1"/>
      <protection locked="0"/>
    </xf>
    <xf numFmtId="166" fontId="61" fillId="3" borderId="130" xfId="2" applyNumberFormat="1" applyFont="1" applyFill="1" applyBorder="1" applyAlignment="1" applyProtection="1">
      <alignment horizontal="left" vertical="center" wrapText="1"/>
    </xf>
    <xf numFmtId="0" fontId="61" fillId="3" borderId="130" xfId="0" applyFont="1" applyFill="1" applyBorder="1" applyAlignment="1" applyProtection="1">
      <alignment horizontal="left" vertical="center" wrapText="1"/>
      <protection locked="0"/>
    </xf>
    <xf numFmtId="0" fontId="62" fillId="3" borderId="4" xfId="0" applyFont="1" applyFill="1" applyBorder="1" applyAlignment="1" applyProtection="1">
      <alignment horizontal="left" vertical="top" wrapText="1"/>
      <protection locked="0"/>
    </xf>
    <xf numFmtId="9" fontId="57" fillId="2" borderId="0" xfId="7" applyFont="1" applyFill="1" applyBorder="1" applyAlignment="1">
      <alignment horizontal="left"/>
    </xf>
    <xf numFmtId="0" fontId="10" fillId="11" borderId="32" xfId="3" applyFont="1" applyFill="1" applyBorder="1" applyAlignment="1">
      <alignment horizontal="left" vertical="center"/>
    </xf>
    <xf numFmtId="0" fontId="39" fillId="11" borderId="32" xfId="3" applyFont="1" applyFill="1" applyBorder="1" applyAlignment="1">
      <alignment horizontal="centerContinuous" vertical="center"/>
    </xf>
    <xf numFmtId="165" fontId="16" fillId="11" borderId="31" xfId="3" applyNumberFormat="1" applyFont="1" applyFill="1" applyBorder="1" applyAlignment="1">
      <alignment vertical="center"/>
    </xf>
    <xf numFmtId="165" fontId="16" fillId="11" borderId="33" xfId="3" applyNumberFormat="1" applyFont="1" applyFill="1" applyBorder="1" applyAlignment="1">
      <alignment vertical="center"/>
    </xf>
    <xf numFmtId="0" fontId="39" fillId="26" borderId="31" xfId="3" applyFont="1" applyFill="1" applyBorder="1" applyAlignment="1">
      <alignment horizontal="right" vertical="center" wrapText="1"/>
    </xf>
    <xf numFmtId="0" fontId="15" fillId="26" borderId="159" xfId="3" applyFont="1" applyFill="1" applyBorder="1" applyAlignment="1">
      <alignment horizontal="left" vertical="center"/>
    </xf>
    <xf numFmtId="165" fontId="12" fillId="0" borderId="154" xfId="3" applyNumberFormat="1" applyFont="1" applyBorder="1" applyAlignment="1">
      <alignment horizontal="left" vertical="center" wrapText="1"/>
    </xf>
    <xf numFmtId="164" fontId="18" fillId="0" borderId="33" xfId="3" applyNumberFormat="1" applyFont="1" applyBorder="1" applyAlignment="1">
      <alignment horizontal="left"/>
    </xf>
    <xf numFmtId="164" fontId="18" fillId="0" borderId="33" xfId="3" applyNumberFormat="1" applyFont="1" applyBorder="1" applyAlignment="1">
      <alignment horizontal="left" vertical="center" wrapText="1"/>
    </xf>
    <xf numFmtId="164" fontId="12" fillId="0" borderId="73" xfId="3" applyNumberFormat="1" applyFont="1" applyBorder="1" applyAlignment="1">
      <alignment horizontal="center"/>
    </xf>
    <xf numFmtId="164" fontId="18" fillId="4" borderId="33" xfId="3" applyNumberFormat="1" applyFont="1" applyFill="1" applyBorder="1" applyAlignment="1">
      <alignment horizontal="left" vertical="center" wrapText="1"/>
    </xf>
    <xf numFmtId="164" fontId="44" fillId="0" borderId="33" xfId="2" applyNumberFormat="1" applyFont="1" applyBorder="1" applyAlignment="1">
      <alignment horizontal="left" vertical="center"/>
    </xf>
    <xf numFmtId="0" fontId="12" fillId="0" borderId="22" xfId="3" applyFont="1" applyBorder="1" applyAlignment="1">
      <alignment horizontal="left" vertical="center"/>
    </xf>
    <xf numFmtId="9" fontId="57" fillId="2" borderId="0" xfId="7" applyFont="1" applyFill="1" applyBorder="1" applyAlignment="1">
      <alignment horizontal="left" vertical="center"/>
    </xf>
    <xf numFmtId="0" fontId="4" fillId="3" borderId="4" xfId="1" applyNumberFormat="1" applyFill="1" applyBorder="1" applyAlignment="1" applyProtection="1">
      <alignment horizontal="left" vertical="center" wrapText="1"/>
      <protection locked="0"/>
    </xf>
    <xf numFmtId="0" fontId="57" fillId="2" borderId="162" xfId="0" applyFont="1" applyFill="1" applyBorder="1" applyAlignment="1">
      <alignment horizontal="right"/>
    </xf>
    <xf numFmtId="0" fontId="57" fillId="2" borderId="162" xfId="0" applyFont="1" applyFill="1" applyBorder="1" applyAlignment="1">
      <alignment horizontal="right" wrapText="1"/>
    </xf>
    <xf numFmtId="0" fontId="15" fillId="0" borderId="32" xfId="3" applyFont="1" applyBorder="1" applyAlignment="1">
      <alignment horizontal="center" vertical="center"/>
    </xf>
    <xf numFmtId="0" fontId="15" fillId="0" borderId="74" xfId="3" applyFont="1" applyBorder="1" applyAlignment="1">
      <alignment horizontal="center" vertical="center"/>
    </xf>
    <xf numFmtId="0" fontId="57" fillId="2" borderId="162" xfId="0" applyFont="1" applyFill="1" applyBorder="1" applyAlignment="1">
      <alignment horizontal="left" wrapText="1"/>
    </xf>
    <xf numFmtId="179" fontId="57" fillId="2" borderId="0" xfId="0" applyNumberFormat="1" applyFont="1" applyFill="1" applyAlignment="1">
      <alignment horizontal="left" vertical="center" wrapText="1"/>
    </xf>
    <xf numFmtId="0" fontId="35" fillId="16" borderId="39" xfId="3" applyFont="1" applyFill="1" applyBorder="1" applyAlignment="1">
      <alignment horizontal="center" vertical="center"/>
    </xf>
    <xf numFmtId="0" fontId="64" fillId="16" borderId="39" xfId="3" applyFont="1" applyFill="1" applyBorder="1" applyAlignment="1">
      <alignment horizontal="center" vertical="center" wrapText="1"/>
    </xf>
    <xf numFmtId="0" fontId="64" fillId="16" borderId="38" xfId="3" applyFont="1" applyFill="1" applyBorder="1" applyAlignment="1">
      <alignment horizontal="center" vertical="center"/>
    </xf>
    <xf numFmtId="0" fontId="35" fillId="16" borderId="40" xfId="3" applyFont="1" applyFill="1" applyBorder="1" applyAlignment="1">
      <alignment horizontal="center" vertical="center"/>
    </xf>
    <xf numFmtId="0" fontId="35" fillId="16" borderId="41" xfId="3" applyFont="1" applyFill="1" applyBorder="1" applyAlignment="1">
      <alignment horizontal="center" vertical="center" wrapText="1"/>
    </xf>
    <xf numFmtId="0" fontId="35" fillId="16" borderId="0" xfId="3" applyFont="1" applyFill="1" applyAlignment="1">
      <alignment horizontal="center" vertical="center"/>
    </xf>
    <xf numFmtId="170" fontId="66" fillId="16" borderId="0" xfId="3" applyNumberFormat="1" applyFont="1" applyFill="1"/>
    <xf numFmtId="0" fontId="67" fillId="0" borderId="0" xfId="3" applyFont="1"/>
    <xf numFmtId="0" fontId="16" fillId="0" borderId="55" xfId="3" applyFont="1" applyBorder="1" applyAlignment="1">
      <alignment horizontal="left" vertical="center" readingOrder="1"/>
    </xf>
    <xf numFmtId="0" fontId="16" fillId="0" borderId="163" xfId="3" applyFont="1" applyBorder="1" applyAlignment="1">
      <alignment horizontal="left" vertical="center" readingOrder="1"/>
    </xf>
    <xf numFmtId="0" fontId="11" fillId="0" borderId="160" xfId="3" applyFont="1" applyBorder="1" applyAlignment="1">
      <alignment horizontal="center" vertical="center" wrapText="1"/>
    </xf>
    <xf numFmtId="164" fontId="11" fillId="0" borderId="160" xfId="3" applyNumberFormat="1" applyFont="1" applyBorder="1" applyAlignment="1">
      <alignment horizontal="center" vertical="center" wrapText="1"/>
    </xf>
    <xf numFmtId="164" fontId="11" fillId="0" borderId="160" xfId="2" applyNumberFormat="1" applyFont="1" applyFill="1" applyBorder="1" applyAlignment="1">
      <alignment horizontal="center" vertical="center"/>
    </xf>
    <xf numFmtId="0" fontId="16" fillId="0" borderId="160" xfId="3" applyFont="1" applyBorder="1" applyAlignment="1">
      <alignment horizontal="center" vertical="center"/>
    </xf>
    <xf numFmtId="164" fontId="7" fillId="0" borderId="160" xfId="0" applyNumberFormat="1" applyFont="1" applyBorder="1" applyAlignment="1">
      <alignment horizontal="left" vertical="center"/>
    </xf>
    <xf numFmtId="164" fontId="7" fillId="0" borderId="160" xfId="3" applyNumberFormat="1" applyFont="1" applyBorder="1" applyAlignment="1">
      <alignment horizontal="center" vertical="center"/>
    </xf>
    <xf numFmtId="0" fontId="7" fillId="0" borderId="160" xfId="3" applyFont="1" applyBorder="1" applyAlignment="1">
      <alignment horizontal="center" vertical="center"/>
    </xf>
    <xf numFmtId="0" fontId="7" fillId="0" borderId="161" xfId="3" applyFont="1" applyBorder="1" applyAlignment="1">
      <alignment horizontal="center" vertical="center"/>
    </xf>
    <xf numFmtId="0" fontId="16" fillId="0" borderId="106" xfId="3" applyFont="1" applyBorder="1" applyAlignment="1">
      <alignment horizontal="left" vertical="center" readingOrder="1"/>
    </xf>
    <xf numFmtId="0" fontId="16" fillId="22" borderId="55" xfId="3" applyFont="1" applyFill="1" applyBorder="1" applyAlignment="1">
      <alignment horizontal="centerContinuous" vertical="center" readingOrder="1"/>
    </xf>
    <xf numFmtId="0" fontId="11" fillId="22" borderId="55" xfId="3" applyFont="1" applyFill="1" applyBorder="1" applyAlignment="1">
      <alignment horizontal="centerContinuous" vertical="center" wrapText="1"/>
    </xf>
    <xf numFmtId="164" fontId="11" fillId="22" borderId="55" xfId="3" applyNumberFormat="1" applyFont="1" applyFill="1" applyBorder="1" applyAlignment="1">
      <alignment horizontal="centerContinuous" vertical="center" wrapText="1"/>
    </xf>
    <xf numFmtId="0" fontId="16" fillId="22" borderId="55" xfId="3" applyFont="1" applyFill="1" applyBorder="1" applyAlignment="1">
      <alignment horizontal="center" vertical="center"/>
    </xf>
    <xf numFmtId="164" fontId="7" fillId="22" borderId="55" xfId="0" applyNumberFormat="1" applyFont="1" applyFill="1" applyBorder="1" applyAlignment="1">
      <alignment horizontal="left" vertical="center"/>
    </xf>
    <xf numFmtId="164" fontId="7" fillId="22" borderId="55" xfId="3" applyNumberFormat="1" applyFont="1" applyFill="1" applyBorder="1" applyAlignment="1">
      <alignment horizontal="center" vertical="center"/>
    </xf>
    <xf numFmtId="0" fontId="7" fillId="22" borderId="55" xfId="3" applyFont="1" applyFill="1" applyBorder="1" applyAlignment="1">
      <alignment horizontal="center" vertical="center"/>
    </xf>
    <xf numFmtId="0" fontId="65" fillId="22" borderId="106" xfId="3" applyFont="1" applyFill="1" applyBorder="1" applyAlignment="1">
      <alignment horizontal="centerContinuous" vertical="center" readingOrder="1"/>
    </xf>
    <xf numFmtId="164" fontId="68" fillId="22" borderId="55" xfId="2" applyNumberFormat="1" applyFont="1" applyFill="1" applyBorder="1" applyAlignment="1">
      <alignment horizontal="centerContinuous" vertical="center"/>
    </xf>
    <xf numFmtId="0" fontId="15" fillId="0" borderId="32" xfId="3" applyFont="1" applyBorder="1" applyAlignment="1">
      <alignment horizontal="left" vertical="center" indent="4"/>
    </xf>
    <xf numFmtId="0" fontId="15" fillId="0" borderId="31" xfId="3" quotePrefix="1" applyFont="1" applyBorder="1" applyAlignment="1">
      <alignment horizontal="center" vertical="center"/>
    </xf>
    <xf numFmtId="0" fontId="69" fillId="0" borderId="0" xfId="3" applyFont="1"/>
    <xf numFmtId="164" fontId="0" fillId="0" borderId="50" xfId="3" applyNumberFormat="1" applyFont="1" applyBorder="1"/>
    <xf numFmtId="3" fontId="0" fillId="0" borderId="68" xfId="3" applyNumberFormat="1" applyFont="1" applyBorder="1" applyAlignment="1">
      <alignment horizontal="center" vertical="center"/>
    </xf>
    <xf numFmtId="164" fontId="0" fillId="7" borderId="84" xfId="3" applyNumberFormat="1" applyFont="1" applyFill="1" applyBorder="1"/>
    <xf numFmtId="0" fontId="0" fillId="0" borderId="0" xfId="3" applyFont="1" applyAlignment="1">
      <alignment horizontal="center" vertical="center"/>
    </xf>
    <xf numFmtId="0" fontId="12" fillId="0" borderId="164" xfId="3" applyFont="1" applyBorder="1" applyAlignment="1">
      <alignment horizontal="center" vertical="center" wrapText="1"/>
    </xf>
    <xf numFmtId="0" fontId="15" fillId="34" borderId="33" xfId="3" applyFont="1" applyFill="1" applyBorder="1" applyAlignment="1">
      <alignment horizontal="center" vertical="center"/>
    </xf>
    <xf numFmtId="0" fontId="16" fillId="0" borderId="67" xfId="3" applyFont="1" applyBorder="1" applyAlignment="1">
      <alignment horizontal="center"/>
    </xf>
    <xf numFmtId="0" fontId="9" fillId="0" borderId="71" xfId="3" applyFont="1" applyBorder="1"/>
    <xf numFmtId="0" fontId="9" fillId="0" borderId="83" xfId="3" applyFont="1" applyBorder="1"/>
    <xf numFmtId="0" fontId="12" fillId="0" borderId="34" xfId="3" applyFont="1" applyBorder="1" applyAlignment="1">
      <alignment horizontal="left" vertical="top" wrapText="1"/>
    </xf>
    <xf numFmtId="0" fontId="10" fillId="10" borderId="31" xfId="3" applyFont="1" applyFill="1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164" fontId="16" fillId="26" borderId="97" xfId="3" applyNumberFormat="1" applyFont="1" applyFill="1" applyBorder="1" applyAlignment="1">
      <alignment horizontal="center"/>
    </xf>
    <xf numFmtId="164" fontId="16" fillId="26" borderId="74" xfId="3" applyNumberFormat="1" applyFont="1" applyFill="1" applyBorder="1" applyAlignment="1">
      <alignment horizontal="center"/>
    </xf>
    <xf numFmtId="0" fontId="12" fillId="0" borderId="27" xfId="3" applyFont="1" applyBorder="1" applyAlignment="1">
      <alignment horizontal="left"/>
    </xf>
    <xf numFmtId="0" fontId="9" fillId="0" borderId="23" xfId="3" applyFont="1" applyBorder="1"/>
    <xf numFmtId="0" fontId="9" fillId="0" borderId="24" xfId="3" applyFont="1" applyBorder="1"/>
    <xf numFmtId="0" fontId="30" fillId="0" borderId="31" xfId="3" applyFont="1" applyBorder="1" applyAlignment="1">
      <alignment horizontal="left"/>
    </xf>
    <xf numFmtId="0" fontId="30" fillId="0" borderId="32" xfId="3" applyFont="1" applyBorder="1" applyAlignment="1">
      <alignment horizontal="left"/>
    </xf>
    <xf numFmtId="0" fontId="30" fillId="0" borderId="33" xfId="3" applyFont="1" applyBorder="1" applyAlignment="1">
      <alignment horizontal="left"/>
    </xf>
    <xf numFmtId="0" fontId="6" fillId="0" borderId="31" xfId="3" applyBorder="1" applyAlignment="1">
      <alignment horizontal="center"/>
    </xf>
    <xf numFmtId="0" fontId="6" fillId="0" borderId="32" xfId="3" applyBorder="1" applyAlignment="1">
      <alignment horizontal="center"/>
    </xf>
    <xf numFmtId="0" fontId="6" fillId="0" borderId="33" xfId="3" applyBorder="1" applyAlignment="1">
      <alignment horizontal="center"/>
    </xf>
    <xf numFmtId="165" fontId="19" fillId="0" borderId="0" xfId="3" applyNumberFormat="1" applyFont="1" applyAlignment="1">
      <alignment horizontal="center" vertical="center"/>
    </xf>
    <xf numFmtId="0" fontId="7" fillId="0" borderId="0" xfId="3" applyFont="1" applyAlignment="1">
      <alignment horizontal="center"/>
    </xf>
    <xf numFmtId="0" fontId="6" fillId="0" borderId="0" xfId="3"/>
    <xf numFmtId="0" fontId="8" fillId="30" borderId="37" xfId="3" applyFont="1" applyFill="1" applyBorder="1" applyAlignment="1">
      <alignment horizontal="center" vertical="center" wrapText="1"/>
    </xf>
    <xf numFmtId="0" fontId="9" fillId="31" borderId="39" xfId="3" applyFont="1" applyFill="1" applyBorder="1"/>
    <xf numFmtId="0" fontId="9" fillId="31" borderId="38" xfId="3" applyFont="1" applyFill="1" applyBorder="1"/>
    <xf numFmtId="0" fontId="9" fillId="31" borderId="77" xfId="3" applyFont="1" applyFill="1" applyBorder="1"/>
    <xf numFmtId="0" fontId="9" fillId="31" borderId="9" xfId="3" applyFont="1" applyFill="1" applyBorder="1"/>
    <xf numFmtId="0" fontId="9" fillId="31" borderId="78" xfId="3" applyFont="1" applyFill="1" applyBorder="1"/>
    <xf numFmtId="0" fontId="10" fillId="0" borderId="131" xfId="3" applyFont="1" applyBorder="1" applyAlignment="1">
      <alignment horizontal="center" vertical="center"/>
    </xf>
    <xf numFmtId="0" fontId="9" fillId="0" borderId="131" xfId="3" applyFont="1" applyBorder="1"/>
    <xf numFmtId="0" fontId="11" fillId="0" borderId="131" xfId="3" applyFont="1" applyBorder="1" applyAlignment="1">
      <alignment horizontal="left" vertical="center" indent="1"/>
    </xf>
    <xf numFmtId="0" fontId="12" fillId="0" borderId="27" xfId="3" applyFont="1" applyBorder="1" applyAlignment="1">
      <alignment horizontal="center"/>
    </xf>
    <xf numFmtId="49" fontId="10" fillId="0" borderId="34" xfId="3" applyNumberFormat="1" applyFont="1" applyBorder="1" applyAlignment="1">
      <alignment horizontal="center" vertical="center"/>
    </xf>
    <xf numFmtId="0" fontId="10" fillId="0" borderId="34" xfId="3" applyFont="1" applyBorder="1" applyAlignment="1">
      <alignment horizontal="center"/>
    </xf>
    <xf numFmtId="0" fontId="15" fillId="5" borderId="31" xfId="3" applyFont="1" applyFill="1" applyBorder="1" applyAlignment="1">
      <alignment horizontal="center" vertical="center"/>
    </xf>
    <xf numFmtId="0" fontId="9" fillId="0" borderId="32" xfId="3" applyFont="1" applyBorder="1"/>
    <xf numFmtId="0" fontId="9" fillId="0" borderId="33" xfId="3" applyFont="1" applyBorder="1"/>
    <xf numFmtId="0" fontId="16" fillId="0" borderId="31" xfId="3" applyFont="1" applyBorder="1" applyAlignment="1">
      <alignment horizontal="center" vertical="center" wrapText="1"/>
    </xf>
    <xf numFmtId="0" fontId="26" fillId="0" borderId="32" xfId="3" applyFont="1" applyBorder="1"/>
    <xf numFmtId="0" fontId="12" fillId="0" borderId="79" xfId="3" applyFont="1" applyBorder="1" applyAlignment="1">
      <alignment horizontal="left"/>
    </xf>
    <xf numFmtId="0" fontId="9" fillId="0" borderId="22" xfId="3" applyFont="1" applyBorder="1"/>
    <xf numFmtId="0" fontId="9" fillId="0" borderId="56" xfId="3" applyFont="1" applyBorder="1"/>
    <xf numFmtId="0" fontId="18" fillId="0" borderId="31" xfId="3" applyFont="1" applyBorder="1" applyAlignment="1">
      <alignment horizontal="right"/>
    </xf>
    <xf numFmtId="0" fontId="18" fillId="0" borderId="32" xfId="3" applyFont="1" applyBorder="1" applyAlignment="1">
      <alignment horizontal="right"/>
    </xf>
    <xf numFmtId="0" fontId="12" fillId="11" borderId="27" xfId="3" applyFont="1" applyFill="1" applyBorder="1" applyAlignment="1">
      <alignment horizontal="left" shrinkToFit="1"/>
    </xf>
    <xf numFmtId="0" fontId="9" fillId="11" borderId="23" xfId="3" applyFont="1" applyFill="1" applyBorder="1"/>
    <xf numFmtId="0" fontId="9" fillId="11" borderId="24" xfId="3" applyFont="1" applyFill="1" applyBorder="1"/>
    <xf numFmtId="0" fontId="12" fillId="11" borderId="23" xfId="3" applyFont="1" applyFill="1" applyBorder="1" applyAlignment="1">
      <alignment horizontal="left" shrinkToFit="1"/>
    </xf>
    <xf numFmtId="0" fontId="12" fillId="11" borderId="24" xfId="3" applyFont="1" applyFill="1" applyBorder="1" applyAlignment="1">
      <alignment horizontal="left" shrinkToFit="1"/>
    </xf>
    <xf numFmtId="0" fontId="12" fillId="11" borderId="79" xfId="3" applyFont="1" applyFill="1" applyBorder="1" applyAlignment="1">
      <alignment horizontal="left" shrinkToFit="1"/>
    </xf>
    <xf numFmtId="0" fontId="9" fillId="11" borderId="22" xfId="3" applyFont="1" applyFill="1" applyBorder="1"/>
    <xf numFmtId="0" fontId="9" fillId="11" borderId="56" xfId="3" applyFont="1" applyFill="1" applyBorder="1"/>
    <xf numFmtId="0" fontId="12" fillId="0" borderId="107" xfId="3" applyFont="1" applyBorder="1" applyAlignment="1">
      <alignment horizontal="left"/>
    </xf>
    <xf numFmtId="0" fontId="9" fillId="0" borderId="26" xfId="3" applyFont="1" applyBorder="1"/>
    <xf numFmtId="0" fontId="9" fillId="0" borderId="30" xfId="3" applyFont="1" applyBorder="1"/>
    <xf numFmtId="0" fontId="14" fillId="0" borderId="34" xfId="3" applyFont="1" applyBorder="1" applyAlignment="1">
      <alignment horizontal="center" vertical="center"/>
    </xf>
    <xf numFmtId="0" fontId="9" fillId="0" borderId="34" xfId="3" applyFont="1" applyBorder="1"/>
    <xf numFmtId="0" fontId="10" fillId="4" borderId="34" xfId="3" applyFont="1" applyFill="1" applyBorder="1" applyAlignment="1">
      <alignment horizontal="left"/>
    </xf>
    <xf numFmtId="0" fontId="15" fillId="5" borderId="37" xfId="3" applyFont="1" applyFill="1" applyBorder="1" applyAlignment="1">
      <alignment horizontal="center" vertical="center"/>
    </xf>
    <xf numFmtId="0" fontId="9" fillId="0" borderId="39" xfId="3" applyFont="1" applyBorder="1"/>
    <xf numFmtId="0" fontId="9" fillId="0" borderId="38" xfId="3" applyFont="1" applyBorder="1"/>
    <xf numFmtId="0" fontId="15" fillId="28" borderId="31" xfId="3" applyFont="1" applyFill="1" applyBorder="1" applyAlignment="1">
      <alignment horizontal="center" vertical="center"/>
    </xf>
    <xf numFmtId="0" fontId="15" fillId="28" borderId="33" xfId="3" applyFont="1" applyFill="1" applyBorder="1" applyAlignment="1">
      <alignment horizontal="center" vertical="center"/>
    </xf>
    <xf numFmtId="0" fontId="26" fillId="16" borderId="31" xfId="3" applyFont="1" applyFill="1" applyBorder="1" applyAlignment="1">
      <alignment horizontal="center" vertical="center"/>
    </xf>
    <xf numFmtId="0" fontId="26" fillId="16" borderId="32" xfId="3" applyFont="1" applyFill="1" applyBorder="1" applyAlignment="1">
      <alignment horizontal="center" vertical="center"/>
    </xf>
    <xf numFmtId="0" fontId="26" fillId="16" borderId="33" xfId="3" applyFont="1" applyFill="1" applyBorder="1" applyAlignment="1">
      <alignment horizontal="center" vertical="center"/>
    </xf>
    <xf numFmtId="0" fontId="12" fillId="0" borderId="27" xfId="3" applyFont="1" applyBorder="1" applyAlignment="1">
      <alignment horizontal="left" shrinkToFit="1"/>
    </xf>
    <xf numFmtId="0" fontId="12" fillId="0" borderId="23" xfId="3" applyFont="1" applyBorder="1" applyAlignment="1">
      <alignment horizontal="left" shrinkToFit="1"/>
    </xf>
    <xf numFmtId="0" fontId="12" fillId="0" borderId="24" xfId="3" applyFont="1" applyBorder="1" applyAlignment="1">
      <alignment horizontal="left" shrinkToFit="1"/>
    </xf>
    <xf numFmtId="0" fontId="12" fillId="0" borderId="107" xfId="3" applyFont="1" applyBorder="1" applyAlignment="1">
      <alignment horizontal="left" shrinkToFit="1"/>
    </xf>
    <xf numFmtId="0" fontId="12" fillId="0" borderId="26" xfId="3" applyFont="1" applyBorder="1" applyAlignment="1">
      <alignment horizontal="left" shrinkToFit="1"/>
    </xf>
    <xf numFmtId="0" fontId="12" fillId="0" borderId="30" xfId="3" applyFont="1" applyBorder="1" applyAlignment="1">
      <alignment horizontal="left" shrinkToFit="1"/>
    </xf>
    <xf numFmtId="0" fontId="16" fillId="0" borderId="31" xfId="3" applyFont="1" applyBorder="1" applyAlignment="1">
      <alignment horizontal="left"/>
    </xf>
    <xf numFmtId="0" fontId="26" fillId="0" borderId="74" xfId="3" applyFont="1" applyBorder="1"/>
    <xf numFmtId="0" fontId="12" fillId="0" borderId="22" xfId="3" applyFont="1" applyBorder="1" applyAlignment="1">
      <alignment horizontal="left"/>
    </xf>
    <xf numFmtId="0" fontId="12" fillId="0" borderId="56" xfId="3" applyFont="1" applyBorder="1" applyAlignment="1">
      <alignment horizontal="left"/>
    </xf>
    <xf numFmtId="0" fontId="12" fillId="16" borderId="27" xfId="3" applyFont="1" applyFill="1" applyBorder="1" applyAlignment="1">
      <alignment horizontal="left"/>
    </xf>
    <xf numFmtId="0" fontId="9" fillId="16" borderId="23" xfId="3" applyFont="1" applyFill="1" applyBorder="1"/>
    <xf numFmtId="0" fontId="9" fillId="16" borderId="24" xfId="3" applyFont="1" applyFill="1" applyBorder="1"/>
    <xf numFmtId="0" fontId="15" fillId="5" borderId="32" xfId="3" applyFont="1" applyFill="1" applyBorder="1" applyAlignment="1">
      <alignment horizontal="center" vertical="center"/>
    </xf>
    <xf numFmtId="0" fontId="15" fillId="5" borderId="33" xfId="3" applyFont="1" applyFill="1" applyBorder="1" applyAlignment="1">
      <alignment horizontal="center" vertical="center"/>
    </xf>
    <xf numFmtId="0" fontId="12" fillId="0" borderId="23" xfId="3" applyFont="1" applyBorder="1" applyAlignment="1">
      <alignment horizontal="left"/>
    </xf>
    <xf numFmtId="0" fontId="12" fillId="0" borderId="24" xfId="3" applyFont="1" applyBorder="1" applyAlignment="1">
      <alignment horizontal="left"/>
    </xf>
    <xf numFmtId="0" fontId="16" fillId="0" borderId="32" xfId="3" applyFont="1" applyBorder="1" applyAlignment="1">
      <alignment horizontal="center" vertical="center" wrapText="1"/>
    </xf>
    <xf numFmtId="0" fontId="10" fillId="0" borderId="31" xfId="3" applyFont="1" applyBorder="1" applyAlignment="1">
      <alignment horizontal="center" vertical="center" wrapText="1"/>
    </xf>
    <xf numFmtId="0" fontId="39" fillId="0" borderId="32" xfId="3" applyFont="1" applyBorder="1"/>
    <xf numFmtId="165" fontId="15" fillId="22" borderId="48" xfId="4" applyFont="1" applyFill="1" applyBorder="1" applyAlignment="1">
      <alignment horizontal="center" vertical="center"/>
    </xf>
    <xf numFmtId="165" fontId="15" fillId="22" borderId="47" xfId="4" applyFont="1" applyFill="1" applyBorder="1" applyAlignment="1">
      <alignment horizontal="center" vertical="center"/>
    </xf>
    <xf numFmtId="165" fontId="15" fillId="22" borderId="49" xfId="4" applyFont="1" applyFill="1" applyBorder="1" applyAlignment="1">
      <alignment horizontal="center" vertical="center"/>
    </xf>
    <xf numFmtId="0" fontId="6" fillId="0" borderId="0" xfId="3" applyAlignment="1">
      <alignment horizontal="left" vertical="center"/>
    </xf>
    <xf numFmtId="0" fontId="15" fillId="42" borderId="37" xfId="3" applyFont="1" applyFill="1" applyBorder="1" applyAlignment="1">
      <alignment horizontal="center" vertical="center"/>
    </xf>
    <xf numFmtId="165" fontId="29" fillId="16" borderId="0" xfId="4" applyFont="1" applyFill="1" applyBorder="1" applyAlignment="1">
      <alignment horizontal="center" vertical="center"/>
    </xf>
    <xf numFmtId="0" fontId="29" fillId="19" borderId="31" xfId="3" applyFont="1" applyFill="1" applyBorder="1" applyAlignment="1">
      <alignment horizontal="center"/>
    </xf>
    <xf numFmtId="0" fontId="9" fillId="19" borderId="32" xfId="3" applyFont="1" applyFill="1" applyBorder="1" applyAlignment="1">
      <alignment horizontal="center"/>
    </xf>
    <xf numFmtId="0" fontId="9" fillId="19" borderId="33" xfId="3" applyFont="1" applyFill="1" applyBorder="1" applyAlignment="1">
      <alignment horizontal="center"/>
    </xf>
    <xf numFmtId="0" fontId="17" fillId="31" borderId="31" xfId="3" applyFont="1" applyFill="1" applyBorder="1" applyAlignment="1">
      <alignment horizontal="left"/>
    </xf>
    <xf numFmtId="0" fontId="17" fillId="31" borderId="32" xfId="3" applyFont="1" applyFill="1" applyBorder="1" applyAlignment="1">
      <alignment horizontal="left"/>
    </xf>
    <xf numFmtId="0" fontId="17" fillId="31" borderId="33" xfId="3" applyFont="1" applyFill="1" applyBorder="1" applyAlignment="1">
      <alignment horizontal="left"/>
    </xf>
    <xf numFmtId="0" fontId="14" fillId="26" borderId="32" xfId="3" applyFont="1" applyFill="1" applyBorder="1" applyAlignment="1">
      <alignment horizontal="left" vertical="center"/>
    </xf>
    <xf numFmtId="0" fontId="14" fillId="26" borderId="33" xfId="3" applyFont="1" applyFill="1" applyBorder="1" applyAlignment="1">
      <alignment horizontal="left" vertical="center"/>
    </xf>
    <xf numFmtId="0" fontId="15" fillId="26" borderId="31" xfId="3" applyFont="1" applyFill="1" applyBorder="1" applyAlignment="1">
      <alignment horizontal="right" vertical="center"/>
    </xf>
    <xf numFmtId="0" fontId="15" fillId="26" borderId="32" xfId="3" applyFont="1" applyFill="1" applyBorder="1" applyAlignment="1">
      <alignment horizontal="right" vertical="center"/>
    </xf>
    <xf numFmtId="165" fontId="15" fillId="32" borderId="97" xfId="3" applyNumberFormat="1" applyFont="1" applyFill="1" applyBorder="1" applyAlignment="1">
      <alignment horizontal="right" vertical="center" wrapText="1"/>
    </xf>
    <xf numFmtId="165" fontId="15" fillId="32" borderId="32" xfId="3" applyNumberFormat="1" applyFont="1" applyFill="1" applyBorder="1" applyAlignment="1">
      <alignment horizontal="right" vertical="center" wrapText="1"/>
    </xf>
    <xf numFmtId="0" fontId="15" fillId="42" borderId="31" xfId="3" applyFont="1" applyFill="1" applyBorder="1" applyAlignment="1">
      <alignment horizontal="center" vertical="center"/>
    </xf>
    <xf numFmtId="0" fontId="9" fillId="31" borderId="32" xfId="3" applyFont="1" applyFill="1" applyBorder="1"/>
    <xf numFmtId="0" fontId="9" fillId="31" borderId="33" xfId="3" applyFont="1" applyFill="1" applyBorder="1"/>
    <xf numFmtId="0" fontId="12" fillId="0" borderId="79" xfId="3" applyFont="1" applyBorder="1" applyAlignment="1">
      <alignment horizontal="left" shrinkToFit="1"/>
    </xf>
    <xf numFmtId="0" fontId="12" fillId="0" borderId="22" xfId="3" applyFont="1" applyBorder="1" applyAlignment="1">
      <alignment horizontal="left" shrinkToFit="1"/>
    </xf>
    <xf numFmtId="0" fontId="12" fillId="0" borderId="56" xfId="3" applyFont="1" applyBorder="1" applyAlignment="1">
      <alignment horizontal="left" shrinkToFit="1"/>
    </xf>
    <xf numFmtId="0" fontId="10" fillId="11" borderId="31" xfId="3" applyFont="1" applyFill="1" applyBorder="1" applyAlignment="1">
      <alignment horizontal="left" indent="2"/>
    </xf>
    <xf numFmtId="0" fontId="10" fillId="11" borderId="32" xfId="3" applyFont="1" applyFill="1" applyBorder="1" applyAlignment="1">
      <alignment horizontal="left" indent="2"/>
    </xf>
    <xf numFmtId="0" fontId="10" fillId="11" borderId="33" xfId="3" applyFont="1" applyFill="1" applyBorder="1" applyAlignment="1">
      <alignment horizontal="left" indent="2"/>
    </xf>
    <xf numFmtId="165" fontId="28" fillId="23" borderId="49" xfId="4" applyFont="1" applyFill="1" applyBorder="1" applyAlignment="1">
      <alignment horizontal="center" vertical="center"/>
    </xf>
    <xf numFmtId="165" fontId="28" fillId="23" borderId="34" xfId="4" applyFont="1" applyFill="1" applyBorder="1" applyAlignment="1">
      <alignment horizontal="center" vertical="center"/>
    </xf>
    <xf numFmtId="10" fontId="29" fillId="16" borderId="0" xfId="5" applyNumberFormat="1" applyFont="1" applyFill="1" applyBorder="1" applyAlignment="1">
      <alignment horizontal="center" vertical="center"/>
    </xf>
    <xf numFmtId="0" fontId="33" fillId="16" borderId="0" xfId="3" applyFont="1" applyFill="1" applyAlignment="1">
      <alignment horizontal="left" vertical="center" indent="8"/>
    </xf>
    <xf numFmtId="165" fontId="40" fillId="16" borderId="0" xfId="4" applyFont="1" applyFill="1" applyBorder="1" applyAlignment="1">
      <alignment horizontal="center" vertical="center"/>
    </xf>
    <xf numFmtId="0" fontId="33" fillId="16" borderId="0" xfId="3" applyFont="1" applyFill="1" applyAlignment="1">
      <alignment horizontal="left" vertical="center" indent="7"/>
    </xf>
    <xf numFmtId="0" fontId="16" fillId="11" borderId="34" xfId="3" applyFont="1" applyFill="1" applyBorder="1" applyAlignment="1">
      <alignment horizontal="center"/>
    </xf>
    <xf numFmtId="0" fontId="16" fillId="12" borderId="49" xfId="3" applyFont="1" applyFill="1" applyBorder="1" applyAlignment="1">
      <alignment horizontal="center"/>
    </xf>
    <xf numFmtId="0" fontId="10" fillId="12" borderId="31" xfId="3" applyFont="1" applyFill="1" applyBorder="1" applyAlignment="1">
      <alignment horizontal="left" indent="2"/>
    </xf>
    <xf numFmtId="0" fontId="10" fillId="12" borderId="32" xfId="3" applyFont="1" applyFill="1" applyBorder="1" applyAlignment="1">
      <alignment horizontal="left" indent="2"/>
    </xf>
    <xf numFmtId="0" fontId="10" fillId="12" borderId="33" xfId="3" applyFont="1" applyFill="1" applyBorder="1" applyAlignment="1">
      <alignment horizontal="left" indent="2"/>
    </xf>
    <xf numFmtId="0" fontId="18" fillId="0" borderId="31" xfId="3" applyFont="1" applyBorder="1" applyAlignment="1">
      <alignment horizontal="right" vertical="center"/>
    </xf>
    <xf numFmtId="0" fontId="18" fillId="0" borderId="32" xfId="3" applyFont="1" applyBorder="1" applyAlignment="1">
      <alignment horizontal="right" vertical="center"/>
    </xf>
    <xf numFmtId="0" fontId="37" fillId="12" borderId="1" xfId="0" applyFont="1" applyFill="1" applyBorder="1" applyAlignment="1">
      <alignment horizontal="center"/>
    </xf>
    <xf numFmtId="176" fontId="60" fillId="2" borderId="155" xfId="0" applyNumberFormat="1" applyFont="1" applyFill="1" applyBorder="1" applyAlignment="1">
      <alignment horizontal="center" vertical="center"/>
    </xf>
    <xf numFmtId="0" fontId="60" fillId="0" borderId="30" xfId="0" applyFont="1" applyBorder="1" applyAlignment="1">
      <alignment horizontal="center" vertical="center"/>
    </xf>
    <xf numFmtId="0" fontId="60" fillId="0" borderId="156" xfId="0" applyFont="1" applyBorder="1" applyAlignment="1">
      <alignment horizontal="center" vertical="center"/>
    </xf>
    <xf numFmtId="0" fontId="60" fillId="0" borderId="56" xfId="0" applyFont="1" applyBorder="1" applyAlignment="1">
      <alignment horizontal="center" vertical="center"/>
    </xf>
    <xf numFmtId="0" fontId="53" fillId="22" borderId="118" xfId="0" applyFont="1" applyFill="1" applyBorder="1" applyAlignment="1">
      <alignment horizontal="center"/>
    </xf>
    <xf numFmtId="0" fontId="53" fillId="22" borderId="119" xfId="0" applyFont="1" applyFill="1" applyBorder="1" applyAlignment="1">
      <alignment horizontal="center"/>
    </xf>
    <xf numFmtId="0" fontId="53" fillId="22" borderId="120" xfId="0" applyFont="1" applyFill="1" applyBorder="1" applyAlignment="1">
      <alignment horizontal="center"/>
    </xf>
    <xf numFmtId="0" fontId="0" fillId="6" borderId="14" xfId="0" applyFill="1" applyBorder="1" applyAlignment="1">
      <alignment horizontal="right"/>
    </xf>
    <xf numFmtId="0" fontId="18" fillId="0" borderId="31" xfId="3" applyFont="1" applyBorder="1" applyAlignment="1">
      <alignment horizontal="left" shrinkToFit="1"/>
    </xf>
    <xf numFmtId="0" fontId="18" fillId="0" borderId="32" xfId="3" applyFont="1" applyBorder="1" applyAlignment="1">
      <alignment horizontal="left" shrinkToFit="1"/>
    </xf>
    <xf numFmtId="0" fontId="18" fillId="0" borderId="74" xfId="3" applyFont="1" applyBorder="1" applyAlignment="1">
      <alignment horizontal="left" shrinkToFit="1"/>
    </xf>
    <xf numFmtId="0" fontId="16" fillId="0" borderId="102" xfId="3" applyFont="1" applyBorder="1" applyAlignment="1">
      <alignment horizontal="center" vertical="center" wrapText="1"/>
    </xf>
    <xf numFmtId="0" fontId="29" fillId="19" borderId="32" xfId="3" applyFont="1" applyFill="1" applyBorder="1" applyAlignment="1">
      <alignment horizontal="center"/>
    </xf>
    <xf numFmtId="0" fontId="29" fillId="19" borderId="33" xfId="3" applyFont="1" applyFill="1" applyBorder="1" applyAlignment="1">
      <alignment horizontal="center"/>
    </xf>
    <xf numFmtId="10" fontId="15" fillId="32" borderId="31" xfId="3" applyNumberFormat="1" applyFont="1" applyFill="1" applyBorder="1" applyAlignment="1">
      <alignment horizontal="center" vertical="center"/>
    </xf>
    <xf numFmtId="10" fontId="15" fillId="32" borderId="33" xfId="3" applyNumberFormat="1" applyFont="1" applyFill="1" applyBorder="1" applyAlignment="1">
      <alignment horizontal="center" vertical="center"/>
    </xf>
    <xf numFmtId="0" fontId="15" fillId="10" borderId="31" xfId="3" applyFont="1" applyFill="1" applyBorder="1" applyAlignment="1">
      <alignment horizontal="left" vertical="center" wrapText="1"/>
    </xf>
    <xf numFmtId="0" fontId="26" fillId="10" borderId="32" xfId="3" applyFont="1" applyFill="1" applyBorder="1" applyAlignment="1">
      <alignment horizontal="left"/>
    </xf>
    <xf numFmtId="0" fontId="18" fillId="0" borderId="31" xfId="3" applyFont="1" applyBorder="1" applyAlignment="1">
      <alignment horizontal="left"/>
    </xf>
    <xf numFmtId="0" fontId="10" fillId="9" borderId="37" xfId="3" applyFont="1" applyFill="1" applyBorder="1" applyAlignment="1">
      <alignment horizontal="center" vertical="center" wrapText="1"/>
    </xf>
    <xf numFmtId="0" fontId="41" fillId="0" borderId="39" xfId="3" applyFont="1" applyBorder="1"/>
    <xf numFmtId="0" fontId="16" fillId="31" borderId="31" xfId="3" applyFont="1" applyFill="1" applyBorder="1" applyAlignment="1">
      <alignment horizontal="center" vertical="center" wrapText="1"/>
    </xf>
    <xf numFmtId="0" fontId="15" fillId="5" borderId="115" xfId="3" applyFont="1" applyFill="1" applyBorder="1" applyAlignment="1">
      <alignment horizontal="center" vertical="center"/>
    </xf>
    <xf numFmtId="0" fontId="9" fillId="0" borderId="103" xfId="3" applyFont="1" applyBorder="1"/>
    <xf numFmtId="0" fontId="9" fillId="0" borderId="104" xfId="3" applyFont="1" applyBorder="1"/>
    <xf numFmtId="0" fontId="14" fillId="36" borderId="11" xfId="3" applyFont="1" applyFill="1" applyBorder="1" applyAlignment="1">
      <alignment horizontal="right" vertical="center" indent="1"/>
    </xf>
    <xf numFmtId="0" fontId="14" fillId="36" borderId="6" xfId="3" applyFont="1" applyFill="1" applyBorder="1" applyAlignment="1">
      <alignment horizontal="right" vertical="center" indent="1"/>
    </xf>
    <xf numFmtId="0" fontId="14" fillId="36" borderId="7" xfId="3" applyFont="1" applyFill="1" applyBorder="1" applyAlignment="1">
      <alignment horizontal="right" vertical="center" indent="1"/>
    </xf>
    <xf numFmtId="10" fontId="20" fillId="12" borderId="31" xfId="3" applyNumberFormat="1" applyFont="1" applyFill="1" applyBorder="1" applyAlignment="1">
      <alignment horizontal="right" vertical="center"/>
    </xf>
    <xf numFmtId="10" fontId="20" fillId="12" borderId="32" xfId="3" applyNumberFormat="1" applyFont="1" applyFill="1" applyBorder="1" applyAlignment="1">
      <alignment horizontal="right" vertical="center"/>
    </xf>
    <xf numFmtId="0" fontId="43" fillId="20" borderId="65" xfId="3" applyFont="1" applyFill="1" applyBorder="1" applyAlignment="1">
      <alignment horizontal="right" vertical="center"/>
    </xf>
    <xf numFmtId="0" fontId="43" fillId="20" borderId="14" xfId="3" applyFont="1" applyFill="1" applyBorder="1" applyAlignment="1">
      <alignment horizontal="right" vertical="center"/>
    </xf>
    <xf numFmtId="0" fontId="43" fillId="20" borderId="21" xfId="3" applyFont="1" applyFill="1" applyBorder="1" applyAlignment="1">
      <alignment horizontal="right" vertical="center"/>
    </xf>
    <xf numFmtId="0" fontId="10" fillId="0" borderId="92" xfId="3" applyFont="1" applyBorder="1" applyAlignment="1">
      <alignment horizontal="center" vertical="center"/>
    </xf>
    <xf numFmtId="0" fontId="10" fillId="0" borderId="93" xfId="3" applyFont="1" applyBorder="1" applyAlignment="1">
      <alignment horizontal="center" vertical="center"/>
    </xf>
    <xf numFmtId="0" fontId="8" fillId="40" borderId="5" xfId="3" applyFont="1" applyFill="1" applyBorder="1" applyAlignment="1">
      <alignment horizontal="center" vertical="center" wrapText="1"/>
    </xf>
    <xf numFmtId="0" fontId="9" fillId="6" borderId="6" xfId="3" applyFont="1" applyFill="1" applyBorder="1"/>
    <xf numFmtId="0" fontId="9" fillId="6" borderId="7" xfId="3" applyFont="1" applyFill="1" applyBorder="1"/>
    <xf numFmtId="0" fontId="9" fillId="6" borderId="36" xfId="3" applyFont="1" applyFill="1" applyBorder="1"/>
    <xf numFmtId="0" fontId="6" fillId="6" borderId="0" xfId="3" applyFill="1"/>
    <xf numFmtId="0" fontId="9" fillId="6" borderId="35" xfId="3" applyFont="1" applyFill="1" applyBorder="1"/>
    <xf numFmtId="0" fontId="9" fillId="6" borderId="8" xfId="3" applyFont="1" applyFill="1" applyBorder="1"/>
    <xf numFmtId="0" fontId="9" fillId="6" borderId="9" xfId="3" applyFont="1" applyFill="1" applyBorder="1"/>
    <xf numFmtId="0" fontId="9" fillId="6" borderId="10" xfId="3" applyFont="1" applyFill="1" applyBorder="1"/>
    <xf numFmtId="0" fontId="10" fillId="0" borderId="11" xfId="3" applyFont="1" applyBorder="1" applyAlignment="1">
      <alignment horizontal="center" vertical="center"/>
    </xf>
    <xf numFmtId="0" fontId="9" fillId="0" borderId="12" xfId="3" applyFont="1" applyBorder="1"/>
    <xf numFmtId="0" fontId="11" fillId="0" borderId="13" xfId="3" applyFont="1" applyBorder="1" applyAlignment="1">
      <alignment horizontal="center" vertical="center"/>
    </xf>
    <xf numFmtId="0" fontId="11" fillId="0" borderId="14" xfId="3" applyFont="1" applyBorder="1" applyAlignment="1">
      <alignment horizontal="center" vertical="center"/>
    </xf>
    <xf numFmtId="0" fontId="11" fillId="0" borderId="12" xfId="3" applyFont="1" applyBorder="1" applyAlignment="1">
      <alignment horizontal="center" vertical="center"/>
    </xf>
    <xf numFmtId="49" fontId="10" fillId="0" borderId="5" xfId="3" applyNumberFormat="1" applyFont="1" applyBorder="1" applyAlignment="1">
      <alignment horizontal="center" vertical="center" wrapText="1"/>
    </xf>
    <xf numFmtId="0" fontId="9" fillId="0" borderId="17" xfId="3" applyFont="1" applyBorder="1"/>
    <xf numFmtId="0" fontId="9" fillId="0" borderId="8" xfId="3" applyFont="1" applyBorder="1"/>
    <xf numFmtId="0" fontId="9" fillId="0" borderId="19" xfId="3" applyFont="1" applyBorder="1"/>
    <xf numFmtId="0" fontId="12" fillId="0" borderId="18" xfId="3" applyFont="1" applyBorder="1" applyAlignment="1">
      <alignment horizontal="left" vertical="center" wrapText="1"/>
    </xf>
    <xf numFmtId="0" fontId="13" fillId="0" borderId="6" xfId="3" applyFont="1" applyBorder="1"/>
    <xf numFmtId="0" fontId="13" fillId="0" borderId="7" xfId="3" applyFont="1" applyBorder="1"/>
    <xf numFmtId="0" fontId="13" fillId="0" borderId="20" xfId="3" applyFont="1" applyBorder="1"/>
    <xf numFmtId="0" fontId="13" fillId="0" borderId="9" xfId="3" applyFont="1" applyBorder="1"/>
    <xf numFmtId="0" fontId="13" fillId="0" borderId="10" xfId="3" applyFont="1" applyBorder="1"/>
    <xf numFmtId="0" fontId="14" fillId="0" borderId="11" xfId="3" applyFont="1" applyBorder="1" applyAlignment="1">
      <alignment horizontal="center" vertical="center"/>
    </xf>
    <xf numFmtId="0" fontId="9" fillId="0" borderId="14" xfId="3" applyFont="1" applyBorder="1"/>
    <xf numFmtId="0" fontId="9" fillId="0" borderId="21" xfId="3" applyFont="1" applyBorder="1"/>
    <xf numFmtId="0" fontId="18" fillId="4" borderId="31" xfId="3" applyFont="1" applyFill="1" applyBorder="1" applyAlignment="1">
      <alignment horizontal="left"/>
    </xf>
    <xf numFmtId="0" fontId="18" fillId="4" borderId="32" xfId="3" applyFont="1" applyFill="1" applyBorder="1" applyAlignment="1">
      <alignment horizontal="left"/>
    </xf>
    <xf numFmtId="0" fontId="18" fillId="4" borderId="74" xfId="3" applyFont="1" applyFill="1" applyBorder="1" applyAlignment="1">
      <alignment horizontal="left"/>
    </xf>
    <xf numFmtId="0" fontId="16" fillId="0" borderId="79" xfId="3" applyFont="1" applyBorder="1" applyAlignment="1">
      <alignment horizontal="left"/>
    </xf>
    <xf numFmtId="0" fontId="26" fillId="0" borderId="22" xfId="3" applyFont="1" applyBorder="1"/>
    <xf numFmtId="0" fontId="26" fillId="0" borderId="56" xfId="3" applyFont="1" applyBorder="1"/>
    <xf numFmtId="0" fontId="16" fillId="9" borderId="48" xfId="3" applyFont="1" applyFill="1" applyBorder="1" applyAlignment="1">
      <alignment horizontal="center" vertical="center" wrapText="1"/>
    </xf>
    <xf numFmtId="0" fontId="16" fillId="9" borderId="49" xfId="3" applyFont="1" applyFill="1" applyBorder="1" applyAlignment="1">
      <alignment horizontal="center" vertical="center" wrapText="1"/>
    </xf>
    <xf numFmtId="0" fontId="16" fillId="9" borderId="39" xfId="3" applyFont="1" applyFill="1" applyBorder="1" applyAlignment="1">
      <alignment horizontal="center" vertical="center" wrapText="1"/>
    </xf>
    <xf numFmtId="0" fontId="16" fillId="9" borderId="44" xfId="3" applyFont="1" applyFill="1" applyBorder="1" applyAlignment="1">
      <alignment horizontal="center" vertical="center" wrapText="1"/>
    </xf>
    <xf numFmtId="170" fontId="25" fillId="8" borderId="48" xfId="3" applyNumberFormat="1" applyFont="1" applyFill="1" applyBorder="1" applyAlignment="1">
      <alignment horizontal="center" vertical="center"/>
    </xf>
    <xf numFmtId="170" fontId="25" fillId="8" borderId="47" xfId="3" applyNumberFormat="1" applyFont="1" applyFill="1" applyBorder="1" applyAlignment="1">
      <alignment horizontal="center" vertical="center"/>
    </xf>
    <xf numFmtId="170" fontId="25" fillId="8" borderId="49" xfId="3" applyNumberFormat="1" applyFont="1" applyFill="1" applyBorder="1" applyAlignment="1">
      <alignment horizontal="center" vertical="center"/>
    </xf>
    <xf numFmtId="0" fontId="25" fillId="8" borderId="37" xfId="3" applyFont="1" applyFill="1" applyBorder="1" applyAlignment="1">
      <alignment horizontal="center" vertical="center"/>
    </xf>
    <xf numFmtId="0" fontId="25" fillId="8" borderId="38" xfId="3" applyFont="1" applyFill="1" applyBorder="1" applyAlignment="1">
      <alignment horizontal="center" vertical="center"/>
    </xf>
    <xf numFmtId="0" fontId="25" fillId="8" borderId="40" xfId="3" applyFont="1" applyFill="1" applyBorder="1" applyAlignment="1">
      <alignment horizontal="center" vertical="center"/>
    </xf>
    <xf numFmtId="0" fontId="25" fillId="8" borderId="41" xfId="3" applyFont="1" applyFill="1" applyBorder="1" applyAlignment="1">
      <alignment horizontal="center" vertical="center"/>
    </xf>
    <xf numFmtId="0" fontId="25" fillId="8" borderId="42" xfId="3" applyFont="1" applyFill="1" applyBorder="1" applyAlignment="1">
      <alignment horizontal="center" vertical="center"/>
    </xf>
    <xf numFmtId="0" fontId="25" fillId="8" borderId="43" xfId="3" applyFont="1" applyFill="1" applyBorder="1" applyAlignment="1">
      <alignment horizontal="center" vertical="center"/>
    </xf>
    <xf numFmtId="10" fontId="50" fillId="10" borderId="95" xfId="7" applyNumberFormat="1" applyFont="1" applyFill="1" applyBorder="1" applyAlignment="1">
      <alignment horizontal="center" vertical="center"/>
    </xf>
    <xf numFmtId="10" fontId="50" fillId="10" borderId="94" xfId="7" applyNumberFormat="1" applyFont="1" applyFill="1" applyBorder="1" applyAlignment="1">
      <alignment horizontal="center" vertical="center"/>
    </xf>
    <xf numFmtId="0" fontId="37" fillId="0" borderId="66" xfId="0" applyFont="1" applyBorder="1" applyAlignment="1">
      <alignment horizontal="center"/>
    </xf>
    <xf numFmtId="0" fontId="37" fillId="0" borderId="91" xfId="0" applyFont="1" applyBorder="1" applyAlignment="1">
      <alignment horizontal="center"/>
    </xf>
    <xf numFmtId="0" fontId="37" fillId="0" borderId="88" xfId="0" applyFont="1" applyBorder="1" applyAlignment="1">
      <alignment horizontal="center"/>
    </xf>
    <xf numFmtId="44" fontId="30" fillId="0" borderId="0" xfId="3" applyNumberFormat="1" applyFont="1"/>
    <xf numFmtId="9" fontId="6" fillId="0" borderId="0" xfId="7" applyFont="1"/>
    <xf numFmtId="44" fontId="6" fillId="0" borderId="0" xfId="3" applyNumberFormat="1"/>
  </cellXfs>
  <cellStyles count="10">
    <cellStyle name="Hiperlink" xfId="1" builtinId="8"/>
    <cellStyle name="Hiperlink 2" xfId="6" xr:uid="{91956763-A31E-4F3B-B2E8-2EC46E22F328}"/>
    <cellStyle name="Moeda" xfId="2" builtinId="4"/>
    <cellStyle name="Moeda 2" xfId="4" xr:uid="{8B6EF00E-929C-4C1A-84D7-F3F41300039A}"/>
    <cellStyle name="Moeda 2 2" xfId="9" xr:uid="{D0A9CC01-7804-4255-AA77-428C2C5EF62B}"/>
    <cellStyle name="Moeda 3" xfId="8" xr:uid="{C85D5FA9-A8F0-4693-ABD7-A57D98C43E11}"/>
    <cellStyle name="Normal" xfId="0" builtinId="0"/>
    <cellStyle name="Normal 2" xfId="3" xr:uid="{DE353F3D-D56C-4A19-B779-76A35C5DB8CA}"/>
    <cellStyle name="Porcentagem" xfId="7" builtinId="5"/>
    <cellStyle name="Porcentagem 2" xfId="5" xr:uid="{C0F507E4-F1A0-4943-B8CD-0D295FE8EBA8}"/>
  </cellStyles>
  <dxfs count="26">
    <dxf>
      <font>
        <color rgb="FF0000FF"/>
      </font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  <border>
        <left/>
        <right/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rgb="FF00B050"/>
        </patternFill>
      </fill>
      <border>
        <left/>
        <right/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rgb="FF00B050"/>
        </patternFill>
      </fill>
      <border>
        <left/>
        <right/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rgb="FF00B050"/>
        </patternFill>
      </fill>
      <border>
        <left/>
        <right/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/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&quot;R$&quot;#,##0.00_);[Red]\(&quot;R$&quot;#,##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&quot;R$&quot;#,##0.00_);[Red]\(&quot;R$&quot;#,##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&quot;R$&quot;#,##0.00_);[Red]\(&quot;R$&quot;#,##0.00\)"/>
      <fill>
        <patternFill patternType="none">
          <fgColor rgb="FFFFFF00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&quot;R$&quot;#,##0.00_);[Red]\(&quot;R$&quot;#,##0.00\)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&quot;R$&quot;#,##0.00_);[Red]\(&quot;R$&quot;#,##0.00\)"/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&quot;R$&quot;#,##0.00_);[Red]\(&quot;R$&quot;#,##0.00\)"/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1"/>
      <border diagonalUp="0" diagonalDown="0" outline="0">
        <left/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1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1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1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border outline="0">
        <left style="medium">
          <color indexed="64"/>
        </left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color theme="0"/>
      </font>
      <fill>
        <patternFill patternType="solid">
          <fgColor indexed="64"/>
          <bgColor theme="0"/>
        </patternFill>
      </fill>
    </dxf>
    <dxf>
      <font>
        <b/>
        <i val="0"/>
      </font>
      <numFmt numFmtId="14" formatCode="0.00%"/>
      <fill>
        <patternFill>
          <bgColor rgb="FFFFC000"/>
        </patternFill>
      </fill>
    </dxf>
    <dxf>
      <font>
        <color rgb="FFFF0000"/>
      </font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DDDDDD"/>
      <color rgb="FF00FFFF"/>
      <color rgb="FFFF0000"/>
      <color rgb="FF00FF00"/>
      <color rgb="FF0000FF"/>
      <color rgb="FFFF33CC"/>
      <color rgb="FFFF3B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F$11" lockText="1"/>
</file>

<file path=xl/ctrlProps/ctrlProp2.xml><?xml version="1.0" encoding="utf-8"?>
<formControlPr xmlns="http://schemas.microsoft.com/office/spreadsheetml/2009/9/main" objectType="CheckBox" checked="Checked" fmlaLink="$H$11" lockText="1"/>
</file>

<file path=xl/ctrlProps/ctrlProp3.xml><?xml version="1.0" encoding="utf-8"?>
<formControlPr xmlns="http://schemas.microsoft.com/office/spreadsheetml/2009/9/main" objectType="Drop" dropLines="10" dropStyle="combo" dx="22" fmlaLink="$B$17" fmlaRange="$A$20:$A$25" noThreeD="1" sel="1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png"/><Relationship Id="rId2" Type="http://schemas.openxmlformats.org/officeDocument/2006/relationships/image" Target="../media/image24.png"/><Relationship Id="rId1" Type="http://schemas.openxmlformats.org/officeDocument/2006/relationships/image" Target="../media/image23.png"/><Relationship Id="rId6" Type="http://schemas.openxmlformats.org/officeDocument/2006/relationships/image" Target="../media/image28.svg"/><Relationship Id="rId5" Type="http://schemas.openxmlformats.org/officeDocument/2006/relationships/image" Target="../media/image27.png"/><Relationship Id="rId4" Type="http://schemas.openxmlformats.org/officeDocument/2006/relationships/image" Target="../media/image26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png"/><Relationship Id="rId1" Type="http://schemas.openxmlformats.org/officeDocument/2006/relationships/image" Target="../media/image23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image" Target="../media/image15.emf"/><Relationship Id="rId7" Type="http://schemas.openxmlformats.org/officeDocument/2006/relationships/image" Target="../media/image19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8.emf"/><Relationship Id="rId5" Type="http://schemas.openxmlformats.org/officeDocument/2006/relationships/image" Target="../media/image17.emf"/><Relationship Id="rId10" Type="http://schemas.openxmlformats.org/officeDocument/2006/relationships/image" Target="../media/image22.emf"/><Relationship Id="rId4" Type="http://schemas.openxmlformats.org/officeDocument/2006/relationships/image" Target="../media/image16.emf"/><Relationship Id="rId9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515286</xdr:colOff>
      <xdr:row>34</xdr:row>
      <xdr:rowOff>77238</xdr:rowOff>
    </xdr:from>
    <xdr:to>
      <xdr:col>4</xdr:col>
      <xdr:colOff>0</xdr:colOff>
      <xdr:row>38</xdr:row>
      <xdr:rowOff>7807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15286" y="4336274"/>
          <a:ext cx="5158893" cy="719783"/>
          <a:chOff x="515286" y="4381947"/>
          <a:chExt cx="5000354" cy="720627"/>
        </a:xfrm>
      </xdr:grpSpPr>
      <xdr:sp macro="[0]!GERA_PROPOSTA" textlink="">
        <xdr:nvSpPr>
          <xdr:cNvPr id="2" name="Retângulo: Cantos Arredondados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/>
        </xdr:nvSpPr>
        <xdr:spPr>
          <a:xfrm>
            <a:off x="3142879" y="4895170"/>
            <a:ext cx="2366388" cy="204808"/>
          </a:xfrm>
          <a:prstGeom prst="roundRect">
            <a:avLst>
              <a:gd name="adj" fmla="val 29710"/>
            </a:avLst>
          </a:prstGeom>
          <a:solidFill>
            <a:srgbClr val="002060">
              <a:alpha val="43000"/>
            </a:srgb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overflow" horzOverflow="overflow" wrap="none" rtlCol="0" anchor="ctr">
            <a:noAutofit/>
          </a:bodyPr>
          <a:lstStyle/>
          <a:p>
            <a:pPr algn="ctr"/>
            <a:r>
              <a:rPr lang="pt-BR" sz="1100" b="0">
                <a:solidFill>
                  <a:schemeClr val="bg1">
                    <a:lumMod val="75000"/>
                  </a:schemeClr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Gerar</a:t>
            </a:r>
            <a:r>
              <a:rPr lang="pt-BR" sz="1100" b="0" baseline="0">
                <a:solidFill>
                  <a:schemeClr val="bg1">
                    <a:lumMod val="75000"/>
                  </a:schemeClr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Proposta P&amp;D</a:t>
            </a:r>
            <a:endParaRPr lang="pt-BR" sz="1100" b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ajusta_tela" textlink="">
        <xdr:nvSpPr>
          <xdr:cNvPr id="24" name="Retângulo: Cantos Arredondados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/>
        </xdr:nvSpPr>
        <xdr:spPr>
          <a:xfrm>
            <a:off x="515286" y="4896144"/>
            <a:ext cx="2293576" cy="206430"/>
          </a:xfrm>
          <a:prstGeom prst="roundRect">
            <a:avLst>
              <a:gd name="adj" fmla="val 29710"/>
            </a:avLst>
          </a:prstGeom>
          <a:solidFill>
            <a:srgbClr val="002060">
              <a:alpha val="43000"/>
            </a:srgbClr>
          </a:solidFill>
          <a:ln>
            <a:noFill/>
          </a:ln>
          <a:effectLst>
            <a:outerShdw blurRad="44450" dist="27940" dir="5400000" algn="ctr">
              <a:srgbClr val="000000">
                <a:alpha val="4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overflow" horzOverflow="overflow" wrap="none" rtlCol="0" anchor="ctr">
            <a:noAutofit/>
          </a:bodyPr>
          <a:lstStyle/>
          <a:p>
            <a:pPr algn="ctr"/>
            <a:r>
              <a:rPr lang="pt-BR" sz="1100" b="0">
                <a:solidFill>
                  <a:schemeClr val="bg1">
                    <a:lumMod val="75000"/>
                  </a:schemeClr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Ajusta Tela</a:t>
            </a:r>
          </a:p>
        </xdr:txBody>
      </xdr:sp>
      <xdr:sp macro="[0]!Set_valor_serviço" textlink="">
        <xdr:nvSpPr>
          <xdr:cNvPr id="26" name="Retângulo: Cantos Arredondados 2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SpPr/>
        </xdr:nvSpPr>
        <xdr:spPr>
          <a:xfrm>
            <a:off x="3149252" y="4383882"/>
            <a:ext cx="2366388" cy="206430"/>
          </a:xfrm>
          <a:prstGeom prst="roundRect">
            <a:avLst>
              <a:gd name="adj" fmla="val 29710"/>
            </a:avLst>
          </a:prstGeom>
          <a:solidFill>
            <a:srgbClr val="002060">
              <a:alpha val="43000"/>
            </a:srgb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overflow" horzOverflow="overflow" wrap="none" rtlCol="0" anchor="ctr">
            <a:noAutofit/>
          </a:bodyPr>
          <a:lstStyle/>
          <a:p>
            <a:pPr algn="ctr"/>
            <a:r>
              <a:rPr lang="pt-BR" sz="1100" b="0">
                <a:solidFill>
                  <a:schemeClr val="bg1">
                    <a:lumMod val="75000"/>
                  </a:schemeClr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Serviços =&gt; Valor da Nota</a:t>
            </a:r>
          </a:p>
        </xdr:txBody>
      </xdr:sp>
      <xdr:sp macro="[0]!Set_margem_serviço_x_margem_serviço" textlink="">
        <xdr:nvSpPr>
          <xdr:cNvPr id="30" name="Retângulo: Cantos Arredondados 29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/>
        </xdr:nvSpPr>
        <xdr:spPr>
          <a:xfrm>
            <a:off x="515286" y="4381947"/>
            <a:ext cx="2293576" cy="206430"/>
          </a:xfrm>
          <a:prstGeom prst="roundRect">
            <a:avLst>
              <a:gd name="adj" fmla="val 29710"/>
            </a:avLst>
          </a:prstGeom>
          <a:solidFill>
            <a:srgbClr val="002060">
              <a:alpha val="43000"/>
            </a:srgbClr>
          </a:solidFill>
          <a:ln>
            <a:noFill/>
          </a:ln>
          <a:effectLst>
            <a:outerShdw blurRad="44450" dist="27940" dir="5400000" algn="ctr">
              <a:srgbClr val="000000">
                <a:alpha val="4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overflow" horzOverflow="overflow" wrap="none" rtlCol="0" anchor="ctr">
            <a:noAutofit/>
          </a:bodyPr>
          <a:lstStyle/>
          <a:p>
            <a:pPr algn="ctr"/>
            <a:r>
              <a:rPr lang="pt-BR" sz="1100" b="0">
                <a:solidFill>
                  <a:schemeClr val="bg1">
                    <a:lumMod val="75000"/>
                  </a:schemeClr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Serviços =&gt; Margem</a:t>
            </a:r>
          </a:p>
        </xdr:txBody>
      </xdr:sp>
      <xdr:sp macro="[0]!Set_margem_material_x_margem_material" textlink="">
        <xdr:nvSpPr>
          <xdr:cNvPr id="31" name="Retângulo: Cantos Arredondados 30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/>
        </xdr:nvSpPr>
        <xdr:spPr>
          <a:xfrm>
            <a:off x="515286" y="4636675"/>
            <a:ext cx="2293576" cy="206430"/>
          </a:xfrm>
          <a:prstGeom prst="roundRect">
            <a:avLst>
              <a:gd name="adj" fmla="val 29710"/>
            </a:avLst>
          </a:prstGeom>
          <a:solidFill>
            <a:srgbClr val="002060">
              <a:alpha val="43000"/>
            </a:srgbClr>
          </a:solidFill>
          <a:ln>
            <a:noFill/>
          </a:ln>
          <a:effectLst>
            <a:outerShdw blurRad="44450" dist="27940" dir="5400000" algn="ctr">
              <a:srgbClr val="000000">
                <a:alpha val="4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overflow" horzOverflow="overflow" wrap="none" rtlCol="0" anchor="ctr">
            <a:noAutofit/>
          </a:bodyPr>
          <a:lstStyle/>
          <a:p>
            <a:pPr algn="ctr"/>
            <a:r>
              <a:rPr lang="pt-BR" sz="1100" b="0">
                <a:solidFill>
                  <a:schemeClr val="bg1">
                    <a:lumMod val="75000"/>
                  </a:schemeClr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Material =&gt; Margem</a:t>
            </a:r>
          </a:p>
        </xdr:txBody>
      </xdr:sp>
      <xdr:sp macro="[0]!Set_valor_material" textlink="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/>
        </xdr:nvSpPr>
        <xdr:spPr>
          <a:xfrm>
            <a:off x="3144476" y="4638918"/>
            <a:ext cx="2366388" cy="206430"/>
          </a:xfrm>
          <a:prstGeom prst="roundRect">
            <a:avLst>
              <a:gd name="adj" fmla="val 29710"/>
            </a:avLst>
          </a:prstGeom>
          <a:solidFill>
            <a:srgbClr val="002060">
              <a:alpha val="43000"/>
            </a:srgb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overflow" horzOverflow="overflow" wrap="none" rtlCol="0" anchor="ctr">
            <a:noAutofit/>
          </a:bodyPr>
          <a:lstStyle/>
          <a:p>
            <a:pPr algn="ctr"/>
            <a:r>
              <a:rPr lang="pt-BR" sz="1100" b="0">
                <a:solidFill>
                  <a:schemeClr val="bg1">
                    <a:lumMod val="75000"/>
                  </a:schemeClr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Materiais =&gt; Valor da Nota</a:t>
            </a:r>
          </a:p>
        </xdr:txBody>
      </xdr:sp>
    </xdr:grpSp>
    <xdr:clientData/>
  </xdr:twoCellAnchor>
  <xdr:twoCellAnchor>
    <xdr:from>
      <xdr:col>4</xdr:col>
      <xdr:colOff>104252</xdr:colOff>
      <xdr:row>10</xdr:row>
      <xdr:rowOff>6466</xdr:rowOff>
    </xdr:from>
    <xdr:to>
      <xdr:col>11</xdr:col>
      <xdr:colOff>148340</xdr:colOff>
      <xdr:row>38</xdr:row>
      <xdr:rowOff>0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pSpPr/>
      </xdr:nvGrpSpPr>
      <xdr:grpSpPr>
        <a:xfrm>
          <a:off x="5778431" y="441895"/>
          <a:ext cx="4969873" cy="4606355"/>
          <a:chOff x="5611853" y="444309"/>
          <a:chExt cx="5612211" cy="5288511"/>
        </a:xfrm>
      </xdr:grpSpPr>
      <xdr:pic>
        <xdr:nvPicPr>
          <xdr:cNvPr id="3" name="Imagem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alphaModFix amt="54000"/>
          </a:blip>
          <a:srcRect l="570" r="425" b="1037"/>
          <a:stretch/>
        </xdr:blipFill>
        <xdr:spPr>
          <a:xfrm>
            <a:off x="8342056" y="3118669"/>
            <a:ext cx="2881522" cy="1490201"/>
          </a:xfrm>
          <a:prstGeom prst="rect">
            <a:avLst/>
          </a:prstGeom>
          <a:ln w="12700">
            <a:solidFill>
              <a:schemeClr val="tx1"/>
            </a:solidFill>
          </a:ln>
        </xdr:spPr>
      </xdr:pic>
      <xdr:pic>
        <xdr:nvPicPr>
          <xdr:cNvPr id="5" name="Imagem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>
            <a:alphaModFix amt="54000"/>
          </a:blip>
          <a:srcRect l="458" t="4374" r="1055" b="1612"/>
          <a:stretch/>
        </xdr:blipFill>
        <xdr:spPr>
          <a:xfrm>
            <a:off x="8341768" y="4657592"/>
            <a:ext cx="2882296" cy="1072771"/>
          </a:xfrm>
          <a:prstGeom prst="rect">
            <a:avLst/>
          </a:prstGeom>
          <a:ln w="12700">
            <a:solidFill>
              <a:schemeClr val="tx1"/>
            </a:solidFill>
          </a:ln>
        </xdr:spPr>
      </xdr:pic>
      <mc:AlternateContent xmlns:mc="http://schemas.openxmlformats.org/markup-compatibility/2006" xmlns:a14="http://schemas.microsoft.com/office/drawing/2010/main">
        <mc:Choice Requires="a14">
          <xdr:pic>
            <xdr:nvPicPr>
              <xdr:cNvPr id="9" name="Imagem 8">
                <a:extLst>
                  <a:ext uri="{FF2B5EF4-FFF2-40B4-BE49-F238E27FC236}">
                    <a16:creationId xmlns:a16="http://schemas.microsoft.com/office/drawing/2014/main" id="{00000000-0008-0000-0100-000009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COMISSÃO!$B$2:$G$28" spid="_x0000_s39415"/>
                  </a:ext>
                </a:extLst>
              </xdr:cNvPicPr>
            </xdr:nvPicPr>
            <xdr:blipFill>
              <a:blip xmlns:r="http://schemas.openxmlformats.org/officeDocument/2006/relationships" r:embed="rId3">
                <a:alphaModFix amt="54000"/>
              </a:blip>
              <a:srcRect/>
              <a:stretch>
                <a:fillRect/>
              </a:stretch>
            </xdr:blipFill>
            <xdr:spPr bwMode="auto">
              <a:xfrm>
                <a:off x="8323800" y="444309"/>
                <a:ext cx="2896959" cy="2641137"/>
              </a:xfrm>
              <a:prstGeom prst="rect">
                <a:avLst/>
              </a:prstGeom>
              <a:noFill/>
              <a:ln w="12700">
                <a:solidFill>
                  <a:schemeClr val="tx1"/>
                </a:solidFill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14" name="Imagem 13">
                <a:extLst>
                  <a:ext uri="{FF2B5EF4-FFF2-40B4-BE49-F238E27FC236}">
                    <a16:creationId xmlns:a16="http://schemas.microsoft.com/office/drawing/2014/main" id="{00000000-0008-0000-0100-00000E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SERVIÇOS!$E$153:$E$157" spid="_x0000_s39416"/>
                  </a:ext>
                </a:extLst>
              </xdr:cNvPicPr>
            </xdr:nvPicPr>
            <xdr:blipFill rotWithShape="1">
              <a:blip xmlns:r="http://schemas.openxmlformats.org/officeDocument/2006/relationships" r:embed="rId4">
                <a:alphaModFix amt="31000"/>
              </a:blip>
              <a:srcRect l="21778" t="1" r="22190" b="3354"/>
              <a:stretch>
                <a:fillRect/>
              </a:stretch>
            </xdr:blipFill>
            <xdr:spPr bwMode="auto">
              <a:xfrm>
                <a:off x="7275816" y="3698575"/>
                <a:ext cx="1000891" cy="633905"/>
              </a:xfrm>
              <a:prstGeom prst="rect">
                <a:avLst/>
              </a:prstGeom>
              <a:noFill/>
              <a:ln w="12700">
                <a:solidFill>
                  <a:schemeClr val="tx1"/>
                </a:solidFill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19" name="Imagem 18">
                <a:extLst>
                  <a:ext uri="{FF2B5EF4-FFF2-40B4-BE49-F238E27FC236}">
                    <a16:creationId xmlns:a16="http://schemas.microsoft.com/office/drawing/2014/main" id="{00000000-0008-0000-0100-000013000000}"/>
                  </a:ext>
                </a:extLst>
              </xdr:cNvPr>
              <xdr:cNvPicPr preferRelativeResize="0">
                <a:picLocks noChangeArrowheads="1"/>
                <a:extLst>
                  <a:ext uri="{84589F7E-364E-4C9E-8A38-B11213B215E9}">
                    <a14:cameraTool cellRange="SERVIÇOS!$E$11:$H$11" spid="_x0000_s39417"/>
                  </a:ext>
                </a:extLst>
              </xdr:cNvPicPr>
            </xdr:nvPicPr>
            <xdr:blipFill rotWithShape="1">
              <a:blip xmlns:r="http://schemas.openxmlformats.org/officeDocument/2006/relationships" r:embed="rId5">
                <a:alphaModFix amt="54000"/>
              </a:blip>
              <a:srcRect l="6190" t="12046" r="13708" b="15346"/>
              <a:stretch>
                <a:fillRect/>
              </a:stretch>
            </xdr:blipFill>
            <xdr:spPr bwMode="auto">
              <a:xfrm>
                <a:off x="5611853" y="5110863"/>
                <a:ext cx="2638800" cy="180000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22" name="Imagem 21">
                <a:extLst>
                  <a:ext uri="{FF2B5EF4-FFF2-40B4-BE49-F238E27FC236}">
                    <a16:creationId xmlns:a16="http://schemas.microsoft.com/office/drawing/2014/main" id="{00000000-0008-0000-0100-000016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SERVIÇOS!$I$121:$J$128" spid="_x0000_s39418"/>
                  </a:ext>
                </a:extLst>
              </xdr:cNvPicPr>
            </xdr:nvPicPr>
            <xdr:blipFill>
              <a:blip xmlns:r="http://schemas.openxmlformats.org/officeDocument/2006/relationships" r:embed="rId6">
                <a:alphaModFix amt="54000"/>
              </a:blip>
              <a:srcRect/>
              <a:stretch>
                <a:fillRect/>
              </a:stretch>
            </xdr:blipFill>
            <xdr:spPr bwMode="auto">
              <a:xfrm>
                <a:off x="5618034" y="445077"/>
                <a:ext cx="2676518" cy="2281838"/>
              </a:xfrm>
              <a:prstGeom prst="rect">
                <a:avLst/>
              </a:prstGeom>
              <a:noFill/>
              <a:ln w="12700">
                <a:solidFill>
                  <a:schemeClr val="tx1"/>
                </a:solidFill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23" name="Imagem 22">
                <a:extLst>
                  <a:ext uri="{FF2B5EF4-FFF2-40B4-BE49-F238E27FC236}">
                    <a16:creationId xmlns:a16="http://schemas.microsoft.com/office/drawing/2014/main" id="{00000000-0008-0000-0100-000017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SERVIÇOS!$I$130:$J$132" spid="_x0000_s39419"/>
                  </a:ext>
                </a:extLst>
              </xdr:cNvPicPr>
            </xdr:nvPicPr>
            <xdr:blipFill>
              <a:blip xmlns:r="http://schemas.openxmlformats.org/officeDocument/2006/relationships" r:embed="rId7">
                <a:alphaModFix amt="54000"/>
              </a:blip>
              <a:srcRect/>
              <a:stretch>
                <a:fillRect/>
              </a:stretch>
            </xdr:blipFill>
            <xdr:spPr bwMode="auto">
              <a:xfrm>
                <a:off x="5618034" y="2760000"/>
                <a:ext cx="2676468" cy="921618"/>
              </a:xfrm>
              <a:prstGeom prst="rect">
                <a:avLst/>
              </a:prstGeom>
              <a:noFill/>
              <a:ln w="12700">
                <a:solidFill>
                  <a:schemeClr val="tx1"/>
                </a:solidFill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15" name="Imagem 14">
                <a:extLst>
                  <a:ext uri="{FF2B5EF4-FFF2-40B4-BE49-F238E27FC236}">
                    <a16:creationId xmlns:a16="http://schemas.microsoft.com/office/drawing/2014/main" id="{00000000-0008-0000-0100-00000F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COMISSÃO!$L$31:$M$39" spid="_x0000_s39420"/>
                  </a:ext>
                </a:extLst>
              </xdr:cNvPicPr>
            </xdr:nvPicPr>
            <xdr:blipFill rotWithShape="1">
              <a:blip xmlns:r="http://schemas.openxmlformats.org/officeDocument/2006/relationships" r:embed="rId8"/>
              <a:srcRect l="10356" r="11629"/>
              <a:stretch>
                <a:fillRect/>
              </a:stretch>
            </xdr:blipFill>
            <xdr:spPr bwMode="auto">
              <a:xfrm>
                <a:off x="5618444" y="3703021"/>
                <a:ext cx="1604984" cy="1160767"/>
              </a:xfrm>
              <a:prstGeom prst="rect">
                <a:avLst/>
              </a:prstGeom>
              <a:noFill/>
              <a:ln w="15875">
                <a:solidFill>
                  <a:schemeClr val="tx1"/>
                </a:solidFill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xdr:sp macro="[0]!Salvar" textlink="">
        <xdr:nvSpPr>
          <xdr:cNvPr id="17" name="Retângulo: Cantos Arredondados 16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/>
        </xdr:nvSpPr>
        <xdr:spPr>
          <a:xfrm>
            <a:off x="7307443" y="4654696"/>
            <a:ext cx="944290" cy="205281"/>
          </a:xfrm>
          <a:prstGeom prst="roundRect">
            <a:avLst>
              <a:gd name="adj" fmla="val 29710"/>
            </a:avLst>
          </a:prstGeom>
          <a:solidFill>
            <a:srgbClr val="002060">
              <a:alpha val="43000"/>
            </a:srgb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pt-BR" sz="1100" b="0">
                <a:solidFill>
                  <a:schemeClr val="bg1">
                    <a:lumMod val="75000"/>
                  </a:schemeClr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Salvar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21" name="Imagem 20">
                <a:extLst>
                  <a:ext uri="{FF2B5EF4-FFF2-40B4-BE49-F238E27FC236}">
                    <a16:creationId xmlns:a16="http://schemas.microsoft.com/office/drawing/2014/main" id="{00000000-0008-0000-0100-000015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SERVIÇOS!$G$9:$H$9" spid="_x0000_s39421"/>
                  </a:ext>
                </a:extLst>
              </xdr:cNvPicPr>
            </xdr:nvPicPr>
            <xdr:blipFill rotWithShape="1">
              <a:blip xmlns:r="http://schemas.openxmlformats.org/officeDocument/2006/relationships" r:embed="rId9">
                <a:alphaModFix amt="33000"/>
              </a:blip>
              <a:srcRect l="4943" t="14261" r="39463" b="20967"/>
              <a:stretch>
                <a:fillRect/>
              </a:stretch>
            </xdr:blipFill>
            <xdr:spPr bwMode="auto">
              <a:xfrm>
                <a:off x="7270737" y="4397452"/>
                <a:ext cx="1000800" cy="203360"/>
              </a:xfrm>
              <a:prstGeom prst="rect">
                <a:avLst/>
              </a:prstGeom>
              <a:noFill/>
              <a:ln w="12700">
                <a:solidFill>
                  <a:schemeClr val="tx1"/>
                </a:solidFill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33" name="Imagem 32">
                <a:extLst>
                  <a:ext uri="{FF2B5EF4-FFF2-40B4-BE49-F238E27FC236}">
                    <a16:creationId xmlns:a16="http://schemas.microsoft.com/office/drawing/2014/main" id="{00000000-0008-0000-0100-000021000000}"/>
                  </a:ext>
                </a:extLst>
              </xdr:cNvPr>
              <xdr:cNvPicPr preferRelativeResize="0">
                <a:picLocks noChangeArrowheads="1"/>
                <a:extLst>
                  <a:ext uri="{84589F7E-364E-4C9E-8A38-B11213B215E9}">
                    <a14:cameraTool cellRange="PRODUTOS!$C$76:$E$76" spid="_x0000_s39422"/>
                  </a:ext>
                </a:extLst>
              </xdr:cNvPicPr>
            </xdr:nvPicPr>
            <xdr:blipFill rotWithShape="1">
              <a:blip xmlns:r="http://schemas.openxmlformats.org/officeDocument/2006/relationships" r:embed="rId10">
                <a:alphaModFix amt="54000"/>
              </a:blip>
              <a:srcRect l="2843" t="8863" r="30408" b="27789"/>
              <a:stretch>
                <a:fillRect/>
              </a:stretch>
            </xdr:blipFill>
            <xdr:spPr bwMode="auto">
              <a:xfrm>
                <a:off x="5611854" y="5554725"/>
                <a:ext cx="2638800" cy="178095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4" name="Imagem 3">
                <a:extLst>
                  <a:ext uri="{FF2B5EF4-FFF2-40B4-BE49-F238E27FC236}">
                    <a16:creationId xmlns:a16="http://schemas.microsoft.com/office/drawing/2014/main" id="{00000000-0008-0000-0100-000004000000}"/>
                  </a:ext>
                </a:extLst>
              </xdr:cNvPr>
              <xdr:cNvPicPr preferRelativeResize="0">
                <a:picLocks noChangeArrowheads="1"/>
                <a:extLst>
                  <a:ext uri="{84589F7E-364E-4C9E-8A38-B11213B215E9}">
                    <a14:cameraTool cellRange="PRODUTOS!$E$96:$F$96" spid="_x0000_s39423"/>
                  </a:ext>
                </a:extLst>
              </xdr:cNvPicPr>
            </xdr:nvPicPr>
            <xdr:blipFill rotWithShape="1">
              <a:blip xmlns:r="http://schemas.openxmlformats.org/officeDocument/2006/relationships" r:embed="rId11">
                <a:alphaModFix amt="54000"/>
              </a:blip>
              <a:srcRect l="19993" t="28370" r="3410" b="35153"/>
              <a:stretch>
                <a:fillRect/>
              </a:stretch>
            </xdr:blipFill>
            <xdr:spPr bwMode="auto">
              <a:xfrm>
                <a:off x="5615863" y="5335863"/>
                <a:ext cx="2638800" cy="180000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7" name="Imagem 6">
                <a:extLst>
                  <a:ext uri="{FF2B5EF4-FFF2-40B4-BE49-F238E27FC236}">
                    <a16:creationId xmlns:a16="http://schemas.microsoft.com/office/drawing/2014/main" id="{00000000-0008-0000-0100-000007000000}"/>
                  </a:ext>
                </a:extLst>
              </xdr:cNvPr>
              <xdr:cNvPicPr preferRelativeResize="0">
                <a:picLocks noChangeArrowheads="1"/>
                <a:extLst>
                  <a:ext uri="{84589F7E-364E-4C9E-8A38-B11213B215E9}">
                    <a14:cameraTool cellRange="SERVIÇOS!$B$136:$F$136" spid="_x0000_s39424"/>
                  </a:ext>
                </a:extLst>
              </xdr:cNvPicPr>
            </xdr:nvPicPr>
            <xdr:blipFill rotWithShape="1">
              <a:blip xmlns:r="http://schemas.openxmlformats.org/officeDocument/2006/relationships" r:embed="rId12">
                <a:alphaModFix amt="54000"/>
              </a:blip>
              <a:srcRect l="6005" t="5572" r="33614" b="5482"/>
              <a:stretch>
                <a:fillRect/>
              </a:stretch>
            </xdr:blipFill>
            <xdr:spPr bwMode="auto">
              <a:xfrm>
                <a:off x="5618264" y="4908509"/>
                <a:ext cx="2639297" cy="196377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371505</xdr:colOff>
      <xdr:row>113</xdr:row>
      <xdr:rowOff>173781</xdr:rowOff>
    </xdr:from>
    <xdr:to>
      <xdr:col>17</xdr:col>
      <xdr:colOff>301742</xdr:colOff>
      <xdr:row>124</xdr:row>
      <xdr:rowOff>2482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48414" y="20713145"/>
          <a:ext cx="4382915" cy="2573806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75474</xdr:colOff>
      <xdr:row>4</xdr:row>
      <xdr:rowOff>22496</xdr:rowOff>
    </xdr:from>
    <xdr:to>
      <xdr:col>2</xdr:col>
      <xdr:colOff>110490</xdr:colOff>
      <xdr:row>5</xdr:row>
      <xdr:rowOff>186812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14" y="776876"/>
          <a:ext cx="1090386" cy="446256"/>
        </a:xfrm>
        <a:prstGeom prst="rect">
          <a:avLst/>
        </a:prstGeom>
      </xdr:spPr>
    </xdr:pic>
    <xdr:clientData/>
  </xdr:twoCellAnchor>
  <xdr:twoCellAnchor>
    <xdr:from>
      <xdr:col>1</xdr:col>
      <xdr:colOff>72707</xdr:colOff>
      <xdr:row>120</xdr:row>
      <xdr:rowOff>34810</xdr:rowOff>
    </xdr:from>
    <xdr:to>
      <xdr:col>5</xdr:col>
      <xdr:colOff>569512</xdr:colOff>
      <xdr:row>127</xdr:row>
      <xdr:rowOff>331305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232727" y="22056610"/>
          <a:ext cx="5785085" cy="2750135"/>
          <a:chOff x="187038" y="21437182"/>
          <a:chExt cx="6303138" cy="1741471"/>
        </a:xfrm>
      </xdr:grpSpPr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87038" y="21439908"/>
            <a:ext cx="3200399" cy="1034309"/>
          </a:xfrm>
          <a:prstGeom prst="rect">
            <a:avLst/>
          </a:prstGeom>
          <a:ln w="12700">
            <a:solidFill>
              <a:schemeClr val="tx1">
                <a:lumMod val="75000"/>
                <a:lumOff val="25000"/>
              </a:schemeClr>
            </a:solidFill>
          </a:ln>
        </xdr:spPr>
      </xdr:pic>
      <xdr:pic>
        <xdr:nvPicPr>
          <xdr:cNvPr id="17" name="Imagem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373581" y="21437182"/>
            <a:ext cx="3116595" cy="1741471"/>
          </a:xfrm>
          <a:prstGeom prst="rect">
            <a:avLst/>
          </a:prstGeom>
          <a:ln w="12700">
            <a:solidFill>
              <a:schemeClr val="tx1">
                <a:lumMod val="75000"/>
                <a:lumOff val="25000"/>
              </a:schemeClr>
            </a:solidFill>
          </a:ln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10</xdr:row>
          <xdr:rowOff>38100</xdr:rowOff>
        </xdr:from>
        <xdr:to>
          <xdr:col>5</xdr:col>
          <xdr:colOff>533400</xdr:colOff>
          <xdr:row>10</xdr:row>
          <xdr:rowOff>342900</xdr:rowOff>
        </xdr:to>
        <xdr:sp macro="" textlink="">
          <xdr:nvSpPr>
            <xdr:cNvPr id="22594" name="Check Box 5186" hidden="1">
              <a:extLst>
                <a:ext uri="{63B3BB69-23CF-44E3-9099-C40C66FF867C}">
                  <a14:compatExt spid="_x0000_s22594"/>
                </a:ext>
                <a:ext uri="{FF2B5EF4-FFF2-40B4-BE49-F238E27FC236}">
                  <a16:creationId xmlns:a16="http://schemas.microsoft.com/office/drawing/2014/main" id="{00000000-0008-0000-0200-00004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10</xdr:row>
          <xdr:rowOff>22860</xdr:rowOff>
        </xdr:from>
        <xdr:to>
          <xdr:col>7</xdr:col>
          <xdr:colOff>411480</xdr:colOff>
          <xdr:row>10</xdr:row>
          <xdr:rowOff>312420</xdr:rowOff>
        </xdr:to>
        <xdr:sp macro="" textlink="">
          <xdr:nvSpPr>
            <xdr:cNvPr id="22595" name="Check Box 5187" hidden="1">
              <a:extLst>
                <a:ext uri="{63B3BB69-23CF-44E3-9099-C40C66FF867C}">
                  <a14:compatExt spid="_x0000_s22595"/>
                </a:ext>
                <a:ext uri="{FF2B5EF4-FFF2-40B4-BE49-F238E27FC236}">
                  <a16:creationId xmlns:a16="http://schemas.microsoft.com/office/drawing/2014/main" id="{00000000-0008-0000-0200-00004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529417</xdr:colOff>
      <xdr:row>136</xdr:row>
      <xdr:rowOff>53240</xdr:rowOff>
    </xdr:from>
    <xdr:ext cx="1525040" cy="292704"/>
    <xdr:sp macro="[0]!ajusta_tel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310717" y="25942190"/>
          <a:ext cx="1525040" cy="29270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0">
          <a:spAutoFit/>
        </a:bodyPr>
        <a:lstStyle/>
        <a:p>
          <a:pPr algn="l"/>
          <a:r>
            <a:rPr lang="pt-BR" sz="1100"/>
            <a:t>Voltar para Dashboard</a:t>
          </a:r>
        </a:p>
      </xdr:txBody>
    </xdr:sp>
    <xdr:clientData/>
  </xdr:oneCellAnchor>
  <xdr:twoCellAnchor>
    <xdr:from>
      <xdr:col>8</xdr:col>
      <xdr:colOff>104776</xdr:colOff>
      <xdr:row>10</xdr:row>
      <xdr:rowOff>76199</xdr:rowOff>
    </xdr:from>
    <xdr:to>
      <xdr:col>8</xdr:col>
      <xdr:colOff>1628775</xdr:colOff>
      <xdr:row>10</xdr:row>
      <xdr:rowOff>304801</xdr:rowOff>
    </xdr:to>
    <xdr:sp macro="[0]!ajusta_tela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934201" y="2219324"/>
          <a:ext cx="1523999" cy="228602"/>
        </a:xfrm>
        <a:prstGeom prst="roundRect">
          <a:avLst>
            <a:gd name="adj" fmla="val 29710"/>
          </a:avLst>
        </a:prstGeom>
        <a:solidFill>
          <a:srgbClr val="002060">
            <a:alpha val="43000"/>
          </a:srgb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overflow" horzOverflow="overflow" wrap="none" rtlCol="0" anchor="ctr" anchorCtr="1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Voltar para Dashboard</a:t>
          </a:r>
          <a:endParaRPr lang="pt-BR" sz="1100" b="0">
            <a:solidFill>
              <a:schemeClr val="tx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</xdr:col>
      <xdr:colOff>723902</xdr:colOff>
      <xdr:row>16</xdr:row>
      <xdr:rowOff>76199</xdr:rowOff>
    </xdr:from>
    <xdr:to>
      <xdr:col>4</xdr:col>
      <xdr:colOff>1266826</xdr:colOff>
      <xdr:row>16</xdr:row>
      <xdr:rowOff>257175</xdr:rowOff>
    </xdr:to>
    <xdr:sp macro="[0]!filtra_colaboradores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3514727" y="3695699"/>
          <a:ext cx="542924" cy="180976"/>
        </a:xfrm>
        <a:prstGeom prst="roundRect">
          <a:avLst>
            <a:gd name="adj" fmla="val 29710"/>
          </a:avLst>
        </a:prstGeom>
        <a:solidFill>
          <a:srgbClr val="002060">
            <a:alpha val="43000"/>
          </a:srgb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overflow" horzOverflow="overflow" wrap="none" rtlCol="0" anchor="ctr" anchorCtr="1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Filtra</a:t>
          </a:r>
          <a:endParaRPr lang="pt-BR" sz="1100" b="0">
            <a:solidFill>
              <a:schemeClr val="tx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4</xdr:col>
      <xdr:colOff>1362074</xdr:colOff>
      <xdr:row>16</xdr:row>
      <xdr:rowOff>28576</xdr:rowOff>
    </xdr:from>
    <xdr:to>
      <xdr:col>4</xdr:col>
      <xdr:colOff>1634489</xdr:colOff>
      <xdr:row>16</xdr:row>
      <xdr:rowOff>300991</xdr:rowOff>
    </xdr:to>
    <xdr:pic macro="[0]!limpa_filtro_colaboradores">
      <xdr:nvPicPr>
        <xdr:cNvPr id="11" name="Gráfico 10" descr="Filtro estrutura de tópicos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52899" y="3648076"/>
          <a:ext cx="266700" cy="266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30480</xdr:rowOff>
        </xdr:from>
        <xdr:to>
          <xdr:col>1</xdr:col>
          <xdr:colOff>1021080</xdr:colOff>
          <xdr:row>16</xdr:row>
          <xdr:rowOff>304800</xdr:rowOff>
        </xdr:to>
        <xdr:sp macro="" textlink="">
          <xdr:nvSpPr>
            <xdr:cNvPr id="22610" name="Drop Down 5202" hidden="1">
              <a:extLst>
                <a:ext uri="{63B3BB69-23CF-44E3-9099-C40C66FF867C}">
                  <a14:compatExt spid="_x0000_s22610"/>
                </a:ext>
                <a:ext uri="{FF2B5EF4-FFF2-40B4-BE49-F238E27FC236}">
                  <a16:creationId xmlns:a16="http://schemas.microsoft.com/office/drawing/2014/main" id="{00000000-0008-0000-0200-00005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290798</xdr:colOff>
      <xdr:row>57</xdr:row>
      <xdr:rowOff>84034</xdr:rowOff>
    </xdr:from>
    <xdr:to>
      <xdr:col>13</xdr:col>
      <xdr:colOff>263499</xdr:colOff>
      <xdr:row>73</xdr:row>
      <xdr:rowOff>144602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529307" y="6734216"/>
          <a:ext cx="5624661" cy="3028558"/>
        </a:xfrm>
        <a:prstGeom prst="rect">
          <a:avLst/>
        </a:prstGeom>
      </xdr:spPr>
    </xdr:pic>
    <xdr:clientData/>
  </xdr:twoCellAnchor>
  <xdr:twoCellAnchor editAs="oneCell">
    <xdr:from>
      <xdr:col>1</xdr:col>
      <xdr:colOff>121920</xdr:colOff>
      <xdr:row>1</xdr:row>
      <xdr:rowOff>106680</xdr:rowOff>
    </xdr:from>
    <xdr:to>
      <xdr:col>3</xdr:col>
      <xdr:colOff>73116</xdr:colOff>
      <xdr:row>3</xdr:row>
      <xdr:rowOff>72876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7180" y="205740"/>
          <a:ext cx="1090386" cy="446256"/>
        </a:xfrm>
        <a:prstGeom prst="rect">
          <a:avLst/>
        </a:prstGeom>
      </xdr:spPr>
    </xdr:pic>
    <xdr:clientData/>
  </xdr:twoCellAnchor>
  <xdr:oneCellAnchor>
    <xdr:from>
      <xdr:col>4</xdr:col>
      <xdr:colOff>1437409</xdr:colOff>
      <xdr:row>74</xdr:row>
      <xdr:rowOff>25977</xdr:rowOff>
    </xdr:from>
    <xdr:ext cx="1525040" cy="292704"/>
    <xdr:sp macro="[0]!ajusta_te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325091" y="13923818"/>
          <a:ext cx="1525040" cy="29270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0">
          <a:spAutoFit/>
        </a:bodyPr>
        <a:lstStyle/>
        <a:p>
          <a:pPr algn="l"/>
          <a:r>
            <a:rPr lang="pt-BR" sz="1100"/>
            <a:t>Voltar para Dashboard</a:t>
          </a:r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ogério Possati Dalbello" id="{DBE97F3D-19A6-4B5B-A4DC-14D07253A577}" userId="a18cad442474c28e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239C805-33F6-4E34-80C1-1A9BFADE512A}" name="tab_colaboradores" displayName="tab_colaboradores" ref="B18:P39" totalsRowShown="0" headerRowDxfId="23" dataDxfId="22" tableBorderDxfId="21">
  <autoFilter ref="B18:P39" xr:uid="{B239C805-33F6-4E34-80C1-1A9BFADE512A}"/>
  <sortState xmlns:xlrd2="http://schemas.microsoft.com/office/spreadsheetml/2017/richdata2" ref="B19:P39">
    <sortCondition descending="1" ref="L18:L39"/>
  </sortState>
  <tableColumns count="15">
    <tableColumn id="1" xr3:uid="{596F6DAD-1569-4A5A-8FA0-C237F636375B}" name="CARGO / FUNÇÃO" dataDxfId="20" dataCellStyle="Normal 2"/>
    <tableColumn id="2" xr3:uid="{44DA8E9E-93A2-45FB-B33D-12C2EE535326}" name="Coluna1" dataDxfId="19" dataCellStyle="Normal 2"/>
    <tableColumn id="3" xr3:uid="{639915A5-DF4A-4EDC-B66E-0CB76019466D}" name="Coluna2" dataDxfId="18" dataCellStyle="Normal 2"/>
    <tableColumn id="4" xr3:uid="{B643EEAB-54B2-44B6-9331-17F1E0CDC9A6}" name="Coluna3" dataDxfId="17" dataCellStyle="Normal 2"/>
    <tableColumn id="5" xr3:uid="{E5C612D5-C46A-4825-B96C-BC21F6A61596}" name="Quant" dataDxfId="16" dataCellStyle="Normal 2"/>
    <tableColumn id="6" xr3:uid="{7FB98D47-9B91-4E2C-8E0D-885C3F54A591}" name="Dias" dataDxfId="15" dataCellStyle="Normal 2">
      <calculatedColumnFormula>$F$9</calculatedColumnFormula>
    </tableColumn>
    <tableColumn id="7" xr3:uid="{E4D65F72-A5E1-45A0-A36D-C33065000B68}" name="Diária" dataDxfId="14" dataCellStyle="Normal 2">
      <calculatedColumnFormula>L19/30</calculatedColumnFormula>
    </tableColumn>
    <tableColumn id="8" xr3:uid="{AC2A2372-FBED-4F04-BB16-028A4C777C34}" name="HE" dataDxfId="13" dataCellStyle="Normal 2"/>
    <tableColumn id="9" xr3:uid="{5464221E-E9DB-4795-A54F-33B09221D191}" name="Total por função" dataDxfId="12" dataCellStyle="Moeda">
      <calculatedColumnFormula>ROUND((F19*G19*H19)+I19,2)</calculatedColumnFormula>
    </tableColumn>
    <tableColumn id="10" xr3:uid="{EEAAB9C9-BE5B-4E77-B3CA-9023091E1456}" name=" " dataDxfId="11" dataCellStyle="Normal 2"/>
    <tableColumn id="11" xr3:uid="{B1282F7A-74CB-4B09-8AE2-ADE05F3F86A8}" name="Salario mensal" dataDxfId="10"/>
    <tableColumn id="12" xr3:uid="{B1B64C0B-E648-4A07-BA20-76A2885560EB}" name="Custo da Hora sem impostos" dataDxfId="9" dataCellStyle="Normal 2">
      <calculatedColumnFormula>L19/220</calculatedColumnFormula>
    </tableColumn>
    <tableColumn id="13" xr3:uid="{AD1D01F9-36B2-4322-A292-00B4D81E74AC}" name="Hora Extra por função" dataDxfId="8" dataCellStyle="Normal 2">
      <calculatedColumnFormula>M19*2*1.1</calculatedColumnFormula>
    </tableColumn>
    <tableColumn id="14" xr3:uid="{EC90411B-1768-4E13-A475-F39EFEC2AB89}" name="Diárias_x000a_Corridas" dataDxfId="7" dataCellStyle="Normal 2">
      <calculatedColumnFormula>F19*G19</calculatedColumnFormula>
    </tableColumn>
    <tableColumn id="15" xr3:uid="{D0267CAC-1A1F-4F48-A4EC-CBCE390F2283}" name="Diárias_x000a_Trabalhadas" dataDxfId="6" dataCellStyle="Normal 2">
      <calculatedColumnFormula>IF(G19&lt;&gt;$F$9,F19*G19,$H$9*F19)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5-04-28T15:46:53.52" personId="{DBE97F3D-19A6-4B5B-A4DC-14D07253A577}" id="{3ACD70E3-7286-452E-8267-6B1CC7C51452}">
    <text>% PRESUNÇÃO PARA SERVIÇOS FORA EMPRE</text>
  </threadedComment>
  <threadedComment ref="H5" dT="2025-04-29T10:58:22.63" personId="{DBE97F3D-19A6-4B5B-A4DC-14D07253A577}" id="{F3CA4DC3-F6C4-402A-BE4B-F9EB9D04709F}">
    <text>% PRESUNÇÃO CSLL</text>
  </threadedComment>
  <threadedComment ref="H5" dT="2025-04-29T10:58:29.71" personId="{DBE97F3D-19A6-4B5B-A4DC-14D07253A577}" id="{1A6B6F34-9A2D-4BB8-8DBD-9748DDD93BCE}" parentId="{F3CA4DC3-F6C4-402A-BE4B-F9EB9D04709F}">
    <text>ok</text>
  </threadedComment>
  <threadedComment ref="C8" dT="2025-04-28T15:44:26.81" personId="{DBE97F3D-19A6-4B5B-A4DC-14D07253A577}" id="{3E3F81A8-C5C8-4485-84BE-6940AD07307F}">
    <text>0,65% - pis
3% - COFINS</text>
  </threadedComment>
  <threadedComment ref="H9" dT="2025-04-28T15:44:26.81" personId="{DBE97F3D-19A6-4B5B-A4DC-14D07253A577}" id="{AB424A5D-3239-40CC-B2BA-4BBDD07E9720}">
    <text>0,65% - pis
3% - COFINS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2658-DC2E-4B27-B72C-09A2600AB9E3}">
  <sheetPr codeName="Planilha2"/>
  <dimension ref="A1:A30"/>
  <sheetViews>
    <sheetView topLeftCell="A9" workbookViewId="0">
      <selection activeCell="E35" sqref="E35"/>
    </sheetView>
  </sheetViews>
  <sheetFormatPr defaultRowHeight="14.4" x14ac:dyDescent="0.3"/>
  <sheetData>
    <row r="1" spans="1:1" x14ac:dyDescent="0.3">
      <c r="A1" s="1" t="s">
        <v>0</v>
      </c>
    </row>
    <row r="2" spans="1:1" x14ac:dyDescent="0.3">
      <c r="A2" s="1" t="s">
        <v>1</v>
      </c>
    </row>
    <row r="3" spans="1:1" x14ac:dyDescent="0.3">
      <c r="A3" s="1" t="s">
        <v>2</v>
      </c>
    </row>
    <row r="4" spans="1:1" x14ac:dyDescent="0.3">
      <c r="A4" s="1" t="s">
        <v>3</v>
      </c>
    </row>
    <row r="5" spans="1:1" x14ac:dyDescent="0.3">
      <c r="A5" s="1" t="s">
        <v>4</v>
      </c>
    </row>
    <row r="6" spans="1:1" x14ac:dyDescent="0.3">
      <c r="A6" s="1" t="s">
        <v>5</v>
      </c>
    </row>
    <row r="7" spans="1:1" x14ac:dyDescent="0.3">
      <c r="A7" s="1" t="s">
        <v>6</v>
      </c>
    </row>
    <row r="8" spans="1:1" x14ac:dyDescent="0.3">
      <c r="A8" s="1" t="s">
        <v>7</v>
      </c>
    </row>
    <row r="9" spans="1:1" x14ac:dyDescent="0.3">
      <c r="A9" s="1" t="s">
        <v>8</v>
      </c>
    </row>
    <row r="10" spans="1:1" x14ac:dyDescent="0.3">
      <c r="A10" s="1" t="s">
        <v>9</v>
      </c>
    </row>
    <row r="11" spans="1:1" x14ac:dyDescent="0.3">
      <c r="A11" s="1" t="s">
        <v>10</v>
      </c>
    </row>
    <row r="12" spans="1:1" x14ac:dyDescent="0.3">
      <c r="A12" s="1" t="s">
        <v>11</v>
      </c>
    </row>
    <row r="13" spans="1:1" x14ac:dyDescent="0.3">
      <c r="A13" s="1" t="s">
        <v>4</v>
      </c>
    </row>
    <row r="14" spans="1:1" x14ac:dyDescent="0.3">
      <c r="A14" s="1" t="s">
        <v>12</v>
      </c>
    </row>
    <row r="15" spans="1:1" x14ac:dyDescent="0.3">
      <c r="A15" s="1" t="s">
        <v>13</v>
      </c>
    </row>
    <row r="16" spans="1:1" x14ac:dyDescent="0.3">
      <c r="A16" s="1" t="s">
        <v>14</v>
      </c>
    </row>
    <row r="17" spans="1:1" x14ac:dyDescent="0.3">
      <c r="A17" s="1" t="s">
        <v>15</v>
      </c>
    </row>
    <row r="18" spans="1:1" x14ac:dyDescent="0.3">
      <c r="A18" s="1" t="s">
        <v>16</v>
      </c>
    </row>
    <row r="19" spans="1:1" x14ac:dyDescent="0.3">
      <c r="A19" s="1" t="s">
        <v>17</v>
      </c>
    </row>
    <row r="20" spans="1:1" x14ac:dyDescent="0.3">
      <c r="A20" s="1" t="s">
        <v>18</v>
      </c>
    </row>
    <row r="21" spans="1:1" x14ac:dyDescent="0.3">
      <c r="A21" s="1" t="s">
        <v>19</v>
      </c>
    </row>
    <row r="22" spans="1:1" x14ac:dyDescent="0.3">
      <c r="A22" s="1" t="s">
        <v>20</v>
      </c>
    </row>
    <row r="23" spans="1:1" x14ac:dyDescent="0.3">
      <c r="A23" s="2" t="s">
        <v>21</v>
      </c>
    </row>
    <row r="24" spans="1:1" x14ac:dyDescent="0.3">
      <c r="A24" s="1" t="s">
        <v>22</v>
      </c>
    </row>
    <row r="25" spans="1:1" x14ac:dyDescent="0.3">
      <c r="A25" s="1" t="s">
        <v>23</v>
      </c>
    </row>
    <row r="26" spans="1:1" x14ac:dyDescent="0.3">
      <c r="A26" s="1" t="s">
        <v>24</v>
      </c>
    </row>
    <row r="27" spans="1:1" x14ac:dyDescent="0.3">
      <c r="A27" s="1" t="s">
        <v>25</v>
      </c>
    </row>
    <row r="28" spans="1:1" x14ac:dyDescent="0.3">
      <c r="A28" s="1" t="s">
        <v>26</v>
      </c>
    </row>
    <row r="29" spans="1:1" x14ac:dyDescent="0.3">
      <c r="A29" s="1" t="s">
        <v>27</v>
      </c>
    </row>
    <row r="30" spans="1:1" x14ac:dyDescent="0.3">
      <c r="A30" s="1" t="s">
        <v>28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06106-99E5-4720-8D83-19A5BDB74D17}">
  <sheetPr codeName="Planilha1"/>
  <dimension ref="A1:Y47"/>
  <sheetViews>
    <sheetView showGridLines="0" topLeftCell="A11" zoomScale="112" zoomScaleNormal="112" workbookViewId="0">
      <selection sqref="A1:M43"/>
    </sheetView>
  </sheetViews>
  <sheetFormatPr defaultColWidth="9.109375" defaultRowHeight="15.6" x14ac:dyDescent="0.3"/>
  <cols>
    <col min="1" max="1" width="8" style="472" customWidth="1"/>
    <col min="2" max="2" width="32.88671875" style="472" hidden="1" customWidth="1"/>
    <col min="3" max="3" width="24" style="472" bestFit="1" customWidth="1"/>
    <col min="4" max="4" width="50.6640625" style="473" customWidth="1"/>
    <col min="5" max="5" width="2.88671875" style="472" customWidth="1"/>
    <col min="6" max="6" width="17.88671875" style="472" customWidth="1"/>
    <col min="7" max="7" width="22.44140625" style="472" customWidth="1"/>
    <col min="8" max="8" width="7.33203125" style="472" customWidth="1"/>
    <col min="9" max="9" width="8.44140625" style="472" bestFit="1" customWidth="1"/>
    <col min="10" max="10" width="5.44140625" style="472" bestFit="1" customWidth="1"/>
    <col min="11" max="11" width="7.44140625" style="472" bestFit="1" customWidth="1"/>
    <col min="12" max="12" width="6.33203125" style="472" bestFit="1" customWidth="1"/>
    <col min="13" max="13" width="9.44140625" style="472" bestFit="1" customWidth="1"/>
    <col min="14" max="17" width="11.109375" style="472" bestFit="1" customWidth="1"/>
    <col min="18" max="18" width="3.33203125" style="472" customWidth="1"/>
    <col min="19" max="19" width="35.109375" style="472" customWidth="1"/>
    <col min="20" max="20" width="83" style="472" bestFit="1" customWidth="1"/>
    <col min="21" max="21" width="14.5546875" style="472" bestFit="1" customWidth="1"/>
    <col min="22" max="22" width="13.6640625" style="472" bestFit="1" customWidth="1"/>
    <col min="23" max="23" width="11.109375" style="472" bestFit="1" customWidth="1"/>
    <col min="24" max="24" width="17" style="472" bestFit="1" customWidth="1"/>
    <col min="25" max="25" width="18.44140625" style="472" bestFit="1" customWidth="1"/>
    <col min="26" max="32" width="20.6640625" style="472" customWidth="1"/>
    <col min="33" max="34" width="15.109375" style="472" bestFit="1" customWidth="1"/>
    <col min="35" max="16384" width="9.109375" style="472"/>
  </cols>
  <sheetData>
    <row r="1" spans="1:25" s="464" customFormat="1" hidden="1" x14ac:dyDescent="0.3">
      <c r="A1" s="463" t="s">
        <v>32</v>
      </c>
      <c r="B1" s="463" t="s">
        <v>33</v>
      </c>
      <c r="C1" s="463" t="s">
        <v>34</v>
      </c>
      <c r="D1" s="463" t="s">
        <v>35</v>
      </c>
      <c r="E1" s="463" t="s">
        <v>36</v>
      </c>
      <c r="F1" s="463" t="s">
        <v>184</v>
      </c>
      <c r="G1" s="463" t="s">
        <v>37</v>
      </c>
      <c r="H1" s="463" t="s">
        <v>38</v>
      </c>
      <c r="I1" s="463" t="s">
        <v>186</v>
      </c>
      <c r="J1" s="463" t="s">
        <v>29</v>
      </c>
      <c r="K1" s="463" t="s">
        <v>30</v>
      </c>
      <c r="L1" s="463" t="s">
        <v>31</v>
      </c>
      <c r="M1" s="463" t="s">
        <v>39</v>
      </c>
      <c r="N1" s="463" t="s">
        <v>151</v>
      </c>
      <c r="O1" s="463" t="s">
        <v>152</v>
      </c>
      <c r="P1" s="463" t="s">
        <v>182</v>
      </c>
      <c r="Q1" s="463" t="s">
        <v>183</v>
      </c>
      <c r="R1" s="463" t="s">
        <v>153</v>
      </c>
      <c r="S1" s="463" t="s">
        <v>154</v>
      </c>
      <c r="T1" s="463" t="s">
        <v>322</v>
      </c>
      <c r="U1" s="463" t="s">
        <v>185</v>
      </c>
      <c r="V1" s="463" t="s">
        <v>323</v>
      </c>
      <c r="W1" s="463" t="s">
        <v>324</v>
      </c>
      <c r="X1" s="463" t="s">
        <v>325</v>
      </c>
      <c r="Y1" s="463" t="s">
        <v>326</v>
      </c>
    </row>
    <row r="2" spans="1:25" s="464" customFormat="1" hidden="1" x14ac:dyDescent="0.3">
      <c r="A2" s="465" t="str">
        <f>VLOOKUP(A1,FORMULÁRIO!$B$11:$D$34,3,FALSE)</f>
        <v xml:space="preserve"> - rev.1</v>
      </c>
      <c r="B2" s="465">
        <f>VLOOKUP(B1,FORMULÁRIO!$B$11:$D$34,3,FALSE)</f>
        <v>0</v>
      </c>
      <c r="C2" s="465">
        <f>VLOOKUP(C1,FORMULÁRIO!$B$11:$D$34,3,FALSE)</f>
        <v>0</v>
      </c>
      <c r="D2" s="465">
        <f>VLOOKUP(D1,FORMULÁRIO!$B$11:$D$34,3,FALSE)</f>
        <v>0</v>
      </c>
      <c r="E2" s="465" t="str">
        <f>VLOOKUP(E1,FORMULÁRIO!$B$11:$D$34,3,FALSE)</f>
        <v>25 dias após chegada dos materiais.</v>
      </c>
      <c r="F2" s="465" t="str">
        <f>VLOOKUP(F1,FORMULÁRIO!$B$11:$D$34,3,FALSE)</f>
        <v>de 10 a 45 dias após aquisição.</v>
      </c>
      <c r="G2" s="466">
        <f>VLOOKUP(G1,FORMULÁRIO!$B$11:$D$34,3,FALSE)</f>
        <v>260813</v>
      </c>
      <c r="H2" s="465" t="e">
        <f ca="1">Converter_numero(G2)</f>
        <v>#NAME?</v>
      </c>
      <c r="I2" s="465" t="str">
        <f>VLOOKUP(I1,FORMULÁRIO!$B$11:$D$34,3,FALSE)</f>
        <v>Uberaba/MG</v>
      </c>
      <c r="J2" s="465">
        <f ca="1">VLOOKUP(J1,FORMULÁRIO!$B$11:$D$34,3,FALSE)</f>
        <v>30</v>
      </c>
      <c r="K2" s="465" t="str">
        <f>VLOOKUP(K1,FORMULÁRIO!$B$11:$D$34,3,FALSE)</f>
        <v>maio</v>
      </c>
      <c r="L2" s="465">
        <f ca="1">VLOOKUP(L1,FORMULÁRIO!$B$11:$D$34,3,FALSE)</f>
        <v>2025</v>
      </c>
      <c r="M2" s="465">
        <f>VLOOKUP(M1,FORMULÁRIO!$B$11:$D$34,3,FALSE)</f>
        <v>0</v>
      </c>
      <c r="N2" s="465">
        <f>VLOOKUP(N1,FORMULÁRIO!$B$11:$D$34,3,FALSE)</f>
        <v>255699</v>
      </c>
      <c r="O2" s="465">
        <f>VLOOKUP(O1,FORMULÁRIO!$B$11:$D$34,3,FALSE)</f>
        <v>0</v>
      </c>
      <c r="P2" s="465" t="str">
        <f>VLOOKUP(P1,FORMULÁRIO!$B$11:$D$34,3,FALSE)</f>
        <v>Não se aplica.</v>
      </c>
      <c r="Q2" s="465" t="str">
        <f>VLOOKUP(Q1,FORMULÁRIO!$B$11:$D$34,3,FALSE)</f>
        <v>2 dias após fechamento da proposta.</v>
      </c>
      <c r="R2" s="465" t="e">
        <f ca="1">Converter_numero(D24)</f>
        <v>#NAME?</v>
      </c>
      <c r="S2" s="465" t="e">
        <f ca="1">Converter_numero(D25)</f>
        <v>#NAME?</v>
      </c>
      <c r="T2" s="465">
        <f>VLOOKUP(T1,FORMULÁRIO!$B$11:$D$34,3,FALSE)</f>
        <v>0</v>
      </c>
      <c r="U2" s="465">
        <f>VLOOKUP(U1,FORMULÁRIO!$B$11:$D$34,3,FALSE)</f>
        <v>1</v>
      </c>
      <c r="V2" s="465">
        <f>VLOOKUP(V1,FORMULÁRIO!$B$11:$D$34,3,FALSE)</f>
        <v>2</v>
      </c>
      <c r="W2" s="465">
        <f>VLOOKUP(W1,FORMULÁRIO!$B$11:$D$34,3,FALSE)</f>
        <v>3</v>
      </c>
      <c r="X2" s="465">
        <f>VLOOKUP(X1,FORMULÁRIO!$B$11:$D$34,3,FALSE)</f>
        <v>4</v>
      </c>
      <c r="Y2" s="465">
        <f>VLOOKUP(Y1,FORMULÁRIO!$B$11:$D$34,3,FALSE)</f>
        <v>5</v>
      </c>
    </row>
    <row r="3" spans="1:25" s="464" customFormat="1" hidden="1" x14ac:dyDescent="0.3">
      <c r="D3" s="467"/>
    </row>
    <row r="4" spans="1:25" s="464" customFormat="1" hidden="1" x14ac:dyDescent="0.3">
      <c r="D4" s="467"/>
    </row>
    <row r="5" spans="1:25" s="464" customFormat="1" hidden="1" x14ac:dyDescent="0.3">
      <c r="D5" s="467"/>
    </row>
    <row r="6" spans="1:25" s="464" customFormat="1" hidden="1" x14ac:dyDescent="0.3">
      <c r="D6" s="467"/>
    </row>
    <row r="7" spans="1:25" s="464" customFormat="1" hidden="1" x14ac:dyDescent="0.3">
      <c r="A7" s="468" t="s">
        <v>328</v>
      </c>
      <c r="B7" s="468" t="s">
        <v>32</v>
      </c>
      <c r="D7" s="467"/>
      <c r="E7" s="469"/>
    </row>
    <row r="8" spans="1:25" s="464" customFormat="1" hidden="1" x14ac:dyDescent="0.3">
      <c r="A8" s="470" t="str">
        <f>"P&amp;D - PROPOSTA COMERCIAL - "&amp;VLOOKUP(A7,FORMULÁRIO!$B$11:$D$34,3,FALSE)&amp;" - "&amp;VLOOKUP(B7,FORMULÁRIO!$B$11:$D$34,3,FALSE)</f>
        <v>P&amp;D - PROPOSTA COMERCIAL -  -  - rev.1</v>
      </c>
      <c r="B8" s="471"/>
      <c r="D8" s="467"/>
    </row>
    <row r="9" spans="1:25" hidden="1" x14ac:dyDescent="0.3"/>
    <row r="10" spans="1:25" ht="34.5" customHeight="1" x14ac:dyDescent="0.3"/>
    <row r="11" spans="1:25" ht="37.5" customHeight="1" x14ac:dyDescent="0.3">
      <c r="B11" s="474" t="s">
        <v>35</v>
      </c>
      <c r="C11" s="544" t="s">
        <v>43</v>
      </c>
      <c r="D11" s="552"/>
    </row>
    <row r="12" spans="1:25" x14ac:dyDescent="0.3">
      <c r="B12" s="474" t="s">
        <v>39</v>
      </c>
      <c r="C12" s="544" t="s">
        <v>49</v>
      </c>
      <c r="D12" s="545"/>
    </row>
    <row r="13" spans="1:25" x14ac:dyDescent="0.3">
      <c r="B13" s="474" t="s">
        <v>322</v>
      </c>
      <c r="C13" s="544" t="s">
        <v>320</v>
      </c>
      <c r="D13" s="546"/>
    </row>
    <row r="14" spans="1:25" x14ac:dyDescent="0.3">
      <c r="B14" s="474" t="s">
        <v>328</v>
      </c>
      <c r="C14" s="544" t="s">
        <v>321</v>
      </c>
      <c r="D14" s="545"/>
    </row>
    <row r="15" spans="1:25" x14ac:dyDescent="0.3">
      <c r="B15" s="474" t="s">
        <v>32</v>
      </c>
      <c r="C15" s="544" t="s">
        <v>40</v>
      </c>
      <c r="D15" s="545" t="s">
        <v>329</v>
      </c>
    </row>
    <row r="16" spans="1:25" x14ac:dyDescent="0.3">
      <c r="B16" s="474" t="s">
        <v>33</v>
      </c>
      <c r="C16" s="544" t="s">
        <v>41</v>
      </c>
      <c r="D16" s="545"/>
    </row>
    <row r="17" spans="2:8" x14ac:dyDescent="0.3">
      <c r="B17" s="474" t="s">
        <v>34</v>
      </c>
      <c r="C17" s="544" t="s">
        <v>42</v>
      </c>
      <c r="D17" s="568"/>
    </row>
    <row r="18" spans="2:8" x14ac:dyDescent="0.3">
      <c r="B18" s="474" t="s">
        <v>36</v>
      </c>
      <c r="C18" s="544" t="s">
        <v>44</v>
      </c>
      <c r="D18" s="545" t="str">
        <f>SERVIÇOS!F9&amp;" dias após chegada dos materiais."</f>
        <v>25 dias após chegada dos materiais.</v>
      </c>
    </row>
    <row r="19" spans="2:8" x14ac:dyDescent="0.3">
      <c r="B19" s="474" t="s">
        <v>37</v>
      </c>
      <c r="C19" s="544" t="s">
        <v>45</v>
      </c>
      <c r="D19" s="547">
        <f>ROUNDUP(SERVIÇOS!J136,0)</f>
        <v>260813</v>
      </c>
    </row>
    <row r="20" spans="2:8" x14ac:dyDescent="0.3">
      <c r="B20" s="474" t="s">
        <v>186</v>
      </c>
      <c r="C20" s="544" t="s">
        <v>187</v>
      </c>
      <c r="D20" s="545" t="s">
        <v>188</v>
      </c>
    </row>
    <row r="21" spans="2:8" x14ac:dyDescent="0.3">
      <c r="B21" s="474" t="s">
        <v>29</v>
      </c>
      <c r="C21" s="544" t="s">
        <v>46</v>
      </c>
      <c r="D21" s="548">
        <f ca="1">DAY(TODAY())</f>
        <v>30</v>
      </c>
    </row>
    <row r="22" spans="2:8" x14ac:dyDescent="0.3">
      <c r="B22" s="474" t="s">
        <v>30</v>
      </c>
      <c r="C22" s="544" t="s">
        <v>47</v>
      </c>
      <c r="D22" s="549" t="s">
        <v>294</v>
      </c>
    </row>
    <row r="23" spans="2:8" x14ac:dyDescent="0.3">
      <c r="B23" s="474" t="s">
        <v>31</v>
      </c>
      <c r="C23" s="544" t="s">
        <v>48</v>
      </c>
      <c r="D23" s="545">
        <f ca="1">YEAR(TODAY())</f>
        <v>2025</v>
      </c>
    </row>
    <row r="24" spans="2:8" x14ac:dyDescent="0.3">
      <c r="B24" s="474" t="s">
        <v>151</v>
      </c>
      <c r="C24" s="544" t="s">
        <v>155</v>
      </c>
      <c r="D24" s="547">
        <f>SERVIÇOS!J122</f>
        <v>255699</v>
      </c>
    </row>
    <row r="25" spans="2:8" x14ac:dyDescent="0.3">
      <c r="B25" s="474" t="s">
        <v>152</v>
      </c>
      <c r="C25" s="544" t="s">
        <v>156</v>
      </c>
      <c r="D25" s="550">
        <f>PRODUTOS!J96</f>
        <v>0</v>
      </c>
    </row>
    <row r="26" spans="2:8" x14ac:dyDescent="0.3">
      <c r="B26" s="474" t="s">
        <v>182</v>
      </c>
      <c r="C26" s="544" t="s">
        <v>179</v>
      </c>
      <c r="D26" s="551" t="s">
        <v>193</v>
      </c>
    </row>
    <row r="27" spans="2:8" x14ac:dyDescent="0.3">
      <c r="B27" s="474" t="s">
        <v>183</v>
      </c>
      <c r="C27" s="544" t="s">
        <v>180</v>
      </c>
      <c r="D27" s="551" t="s">
        <v>318</v>
      </c>
    </row>
    <row r="28" spans="2:8" x14ac:dyDescent="0.3">
      <c r="B28" s="474" t="s">
        <v>184</v>
      </c>
      <c r="C28" s="544" t="s">
        <v>181</v>
      </c>
      <c r="D28" s="551" t="s">
        <v>319</v>
      </c>
    </row>
    <row r="29" spans="2:8" hidden="1" x14ac:dyDescent="0.3">
      <c r="B29" s="474" t="s">
        <v>185</v>
      </c>
      <c r="C29" s="544" t="s">
        <v>185</v>
      </c>
      <c r="D29" s="545">
        <v>1</v>
      </c>
    </row>
    <row r="30" spans="2:8" hidden="1" x14ac:dyDescent="0.3">
      <c r="B30" s="474" t="s">
        <v>323</v>
      </c>
      <c r="C30" s="544" t="s">
        <v>323</v>
      </c>
      <c r="D30" s="545">
        <v>2</v>
      </c>
      <c r="E30" s="475"/>
      <c r="F30" s="476"/>
      <c r="G30" s="477"/>
      <c r="H30" s="478"/>
    </row>
    <row r="31" spans="2:8" hidden="1" x14ac:dyDescent="0.3">
      <c r="B31" s="474" t="s">
        <v>324</v>
      </c>
      <c r="C31" s="544" t="s">
        <v>324</v>
      </c>
      <c r="D31" s="545">
        <v>3</v>
      </c>
    </row>
    <row r="32" spans="2:8" hidden="1" x14ac:dyDescent="0.3">
      <c r="B32" s="474" t="s">
        <v>325</v>
      </c>
      <c r="C32" s="544" t="s">
        <v>325</v>
      </c>
      <c r="D32" s="545">
        <v>4</v>
      </c>
    </row>
    <row r="33" spans="2:8" hidden="1" x14ac:dyDescent="0.3">
      <c r="B33" s="474" t="s">
        <v>326</v>
      </c>
      <c r="C33" s="544" t="s">
        <v>326</v>
      </c>
      <c r="D33" s="545">
        <v>5</v>
      </c>
    </row>
    <row r="34" spans="2:8" hidden="1" x14ac:dyDescent="0.3">
      <c r="B34" s="474" t="s">
        <v>327</v>
      </c>
      <c r="C34" s="544" t="s">
        <v>327</v>
      </c>
      <c r="D34" s="545">
        <v>6</v>
      </c>
    </row>
    <row r="37" spans="2:8" ht="15.6" customHeight="1" x14ac:dyDescent="0.3"/>
    <row r="38" spans="2:8" x14ac:dyDescent="0.3">
      <c r="D38" s="472"/>
    </row>
    <row r="39" spans="2:8" ht="15.6" customHeight="1" thickBot="1" x14ac:dyDescent="0.35"/>
    <row r="40" spans="2:8" ht="16.8" thickTop="1" thickBot="1" x14ac:dyDescent="0.35">
      <c r="C40" s="569" t="s">
        <v>295</v>
      </c>
      <c r="D40" s="553">
        <v>0.3</v>
      </c>
      <c r="E40" s="477"/>
      <c r="G40" s="477"/>
    </row>
    <row r="41" spans="2:8" ht="16.8" thickTop="1" thickBot="1" x14ac:dyDescent="0.35">
      <c r="C41" s="569" t="s">
        <v>296</v>
      </c>
      <c r="D41" s="553">
        <v>0.25</v>
      </c>
      <c r="E41" s="477"/>
    </row>
    <row r="42" spans="2:8" ht="32.4" thickTop="1" thickBot="1" x14ac:dyDescent="0.35">
      <c r="C42" s="570" t="s">
        <v>317</v>
      </c>
      <c r="D42" s="567">
        <f>IFERROR(D25/D19,)</f>
        <v>0</v>
      </c>
      <c r="G42" s="477"/>
      <c r="H42" s="478"/>
    </row>
    <row r="43" spans="2:8" ht="16.8" thickTop="1" thickBot="1" x14ac:dyDescent="0.35">
      <c r="C43" s="573" t="e">
        <f ca="1">Converter_numero(D43)</f>
        <v>#NAME?</v>
      </c>
      <c r="D43" s="574">
        <v>39000</v>
      </c>
      <c r="E43" s="477"/>
      <c r="G43" s="477"/>
      <c r="H43" s="478"/>
    </row>
    <row r="44" spans="2:8" ht="16.2" thickTop="1" x14ac:dyDescent="0.3">
      <c r="C44" s="472" t="s">
        <v>342</v>
      </c>
      <c r="H44" s="478"/>
    </row>
    <row r="45" spans="2:8" x14ac:dyDescent="0.3">
      <c r="H45" s="478"/>
    </row>
    <row r="46" spans="2:8" x14ac:dyDescent="0.3">
      <c r="E46" s="477"/>
      <c r="H46" s="478"/>
    </row>
    <row r="47" spans="2:8" x14ac:dyDescent="0.3">
      <c r="E47" s="477"/>
    </row>
  </sheetData>
  <sheetProtection formatCells="0" formatColumns="0" formatRows="0" selectLockedCells="1" sort="0" autoFilter="0" pivotTables="0"/>
  <phoneticPr fontId="3" type="noConversion"/>
  <pageMargins left="0.511811024" right="0.511811024" top="0.78740157499999996" bottom="0.78740157499999996" header="0.31496062000000002" footer="0.31496062000000002"/>
  <pageSetup paperSize="9" orientation="portrait" r:id="rId1"/>
  <ignoredErrors>
    <ignoredError sqref="A3:S5 B2:G2 I2:Q2 B8:S8 D19:D21 C7:S7 B6:S6" unlockedFormula="1"/>
  </ignoredError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215EF-47AA-46A4-804F-232342B2AE72}">
  <sheetPr codeName="Planilha3">
    <tabColor rgb="FFFFFF00"/>
  </sheetPr>
  <dimension ref="A1:AG943"/>
  <sheetViews>
    <sheetView showGridLines="0" tabSelected="1" topLeftCell="A120" zoomScaleNormal="100" workbookViewId="0">
      <selection activeCell="L129" sqref="L129"/>
    </sheetView>
  </sheetViews>
  <sheetFormatPr defaultColWidth="12.5546875" defaultRowHeight="15" customHeight="1" outlineLevelRow="1" outlineLevelCol="1" x14ac:dyDescent="0.3"/>
  <cols>
    <col min="1" max="1" width="2.33203125" style="3" customWidth="1"/>
    <col min="2" max="2" width="15.6640625" style="3" customWidth="1"/>
    <col min="3" max="3" width="10.5546875" style="3" customWidth="1"/>
    <col min="4" max="4" width="13.33203125" style="3" customWidth="1"/>
    <col min="5" max="5" width="37.5546875" style="3" customWidth="1"/>
    <col min="6" max="6" width="9.6640625" style="3" customWidth="1" outlineLevel="1"/>
    <col min="7" max="7" width="13.5546875" style="3" customWidth="1" outlineLevel="1"/>
    <col min="8" max="8" width="12.5546875" style="3" customWidth="1" outlineLevel="1"/>
    <col min="9" max="9" width="27.33203125" style="3" customWidth="1" outlineLevel="1"/>
    <col min="10" max="10" width="18" style="3" customWidth="1" outlineLevel="1"/>
    <col min="11" max="11" width="10.33203125" style="3" customWidth="1" outlineLevel="1"/>
    <col min="12" max="12" width="16.109375" style="3" bestFit="1" customWidth="1"/>
    <col min="13" max="13" width="16.44140625" style="3" bestFit="1" customWidth="1"/>
    <col min="14" max="14" width="14.5546875" style="3" customWidth="1"/>
    <col min="15" max="15" width="11.5546875" style="3" customWidth="1"/>
    <col min="16" max="16" width="12.5546875" style="3" customWidth="1"/>
    <col min="17" max="17" width="11.88671875" style="3" bestFit="1" customWidth="1"/>
    <col min="18" max="18" width="9" style="3" bestFit="1" customWidth="1"/>
    <col min="19" max="19" width="11.33203125" style="3" customWidth="1"/>
    <col min="20" max="21" width="6.6640625" style="3" customWidth="1"/>
    <col min="22" max="23" width="13" style="3" bestFit="1" customWidth="1"/>
    <col min="24" max="24" width="8.6640625" style="3" bestFit="1" customWidth="1"/>
    <col min="25" max="25" width="1.44140625" style="3" customWidth="1"/>
    <col min="26" max="26" width="13" style="3" bestFit="1" customWidth="1"/>
    <col min="27" max="28" width="8" style="3" customWidth="1"/>
    <col min="29" max="33" width="14.44140625" style="3" customWidth="1"/>
    <col min="34" max="16384" width="12.5546875" style="3"/>
  </cols>
  <sheetData>
    <row r="1" spans="2:23" ht="6" customHeight="1" thickBot="1" x14ac:dyDescent="0.35"/>
    <row r="2" spans="2:23" ht="15" customHeight="1" thickBot="1" x14ac:dyDescent="0.35">
      <c r="B2" s="626"/>
      <c r="C2" s="627"/>
      <c r="D2" s="627"/>
      <c r="E2" s="627"/>
      <c r="F2" s="627"/>
      <c r="G2" s="627"/>
      <c r="H2" s="627"/>
      <c r="I2" s="627"/>
      <c r="J2" s="628"/>
    </row>
    <row r="3" spans="2:23" ht="15" customHeight="1" thickBot="1" x14ac:dyDescent="0.35">
      <c r="B3" s="185"/>
      <c r="C3" s="623" t="s">
        <v>236</v>
      </c>
      <c r="D3" s="624"/>
      <c r="E3" s="624"/>
      <c r="F3" s="624"/>
      <c r="G3" s="624"/>
      <c r="H3" s="624"/>
      <c r="I3" s="624"/>
      <c r="J3" s="625"/>
    </row>
    <row r="4" spans="2:23" ht="7.95" customHeight="1" thickBot="1" x14ac:dyDescent="0.35">
      <c r="B4" s="630"/>
      <c r="C4" s="631"/>
      <c r="D4" s="631"/>
      <c r="E4" s="631"/>
      <c r="F4" s="631"/>
      <c r="G4" s="631"/>
      <c r="H4" s="631"/>
      <c r="I4" s="631"/>
      <c r="J4" s="631"/>
      <c r="L4" s="4"/>
    </row>
    <row r="5" spans="2:23" ht="22.5" customHeight="1" x14ac:dyDescent="0.3">
      <c r="B5" s="632" t="s">
        <v>50</v>
      </c>
      <c r="C5" s="633"/>
      <c r="D5" s="633"/>
      <c r="E5" s="633"/>
      <c r="F5" s="633"/>
      <c r="G5" s="633"/>
      <c r="H5" s="633"/>
      <c r="I5" s="633"/>
      <c r="J5" s="634"/>
      <c r="K5" s="5"/>
      <c r="L5" s="4"/>
      <c r="T5" s="6"/>
      <c r="U5" s="6"/>
      <c r="V5" s="7"/>
      <c r="W5" s="6"/>
    </row>
    <row r="6" spans="2:23" ht="17.25" customHeight="1" thickBot="1" x14ac:dyDescent="0.35">
      <c r="B6" s="635"/>
      <c r="C6" s="636"/>
      <c r="D6" s="636"/>
      <c r="E6" s="636"/>
      <c r="F6" s="636"/>
      <c r="G6" s="636"/>
      <c r="H6" s="636"/>
      <c r="I6" s="636"/>
      <c r="J6" s="637"/>
      <c r="K6" s="5"/>
      <c r="L6" s="4"/>
    </row>
    <row r="7" spans="2:23" ht="16.95" customHeight="1" thickBot="1" x14ac:dyDescent="0.35">
      <c r="B7" s="638" t="s">
        <v>51</v>
      </c>
      <c r="C7" s="639"/>
      <c r="D7" s="640">
        <f>FORMULÁRIO!D13</f>
        <v>0</v>
      </c>
      <c r="E7" s="640"/>
      <c r="F7" s="640"/>
      <c r="G7" s="640"/>
      <c r="H7" s="640"/>
      <c r="I7" s="435" t="s">
        <v>189</v>
      </c>
      <c r="J7" s="436">
        <v>45782</v>
      </c>
      <c r="K7" s="10"/>
      <c r="L7" s="4"/>
      <c r="T7" s="11"/>
      <c r="U7" s="11"/>
      <c r="V7" s="7"/>
    </row>
    <row r="8" spans="2:23" ht="33" customHeight="1" thickBot="1" x14ac:dyDescent="0.35">
      <c r="B8" s="437" t="s">
        <v>53</v>
      </c>
      <c r="C8" s="438"/>
      <c r="D8" s="615">
        <f>FORMULÁRIO!D11</f>
        <v>0</v>
      </c>
      <c r="E8" s="615"/>
      <c r="F8" s="615"/>
      <c r="G8" s="615"/>
      <c r="H8" s="615"/>
      <c r="I8" s="433" t="s">
        <v>194</v>
      </c>
      <c r="J8" s="439">
        <f>WORKDAY.INTL(J7,H9-1,1,)</f>
        <v>45814</v>
      </c>
      <c r="K8" s="5"/>
      <c r="L8" s="12"/>
    </row>
    <row r="9" spans="2:23" ht="18" customHeight="1" thickBot="1" x14ac:dyDescent="0.35">
      <c r="B9" s="529" t="s">
        <v>271</v>
      </c>
      <c r="C9" s="530"/>
      <c r="D9" s="530"/>
      <c r="E9" s="531" t="s">
        <v>272</v>
      </c>
      <c r="F9" s="179">
        <v>25</v>
      </c>
      <c r="G9" s="434" t="s">
        <v>54</v>
      </c>
      <c r="H9" s="611">
        <v>25</v>
      </c>
      <c r="I9" s="440" t="s">
        <v>55</v>
      </c>
      <c r="J9" s="441">
        <f>F9/30</f>
        <v>0.83333333333333337</v>
      </c>
      <c r="K9" s="14"/>
      <c r="L9" s="4"/>
    </row>
    <row r="10" spans="2:23" ht="18" customHeight="1" thickBot="1" x14ac:dyDescent="0.35">
      <c r="B10" s="642"/>
      <c r="C10" s="642"/>
      <c r="D10" s="642"/>
      <c r="E10" s="642"/>
      <c r="F10" s="642"/>
      <c r="G10" s="642"/>
      <c r="H10" s="642"/>
      <c r="I10" s="642"/>
      <c r="J10" s="642"/>
      <c r="K10" s="14"/>
      <c r="L10" s="4"/>
    </row>
    <row r="11" spans="2:23" ht="30.6" customHeight="1" thickBot="1" x14ac:dyDescent="0.35">
      <c r="B11" s="642" t="s">
        <v>195</v>
      </c>
      <c r="C11" s="642"/>
      <c r="D11" s="642"/>
      <c r="E11" s="442" t="s">
        <v>197</v>
      </c>
      <c r="F11" s="394" t="b">
        <v>0</v>
      </c>
      <c r="G11" s="528" t="s">
        <v>198</v>
      </c>
      <c r="H11" s="395" t="b">
        <v>1</v>
      </c>
      <c r="I11" s="643"/>
      <c r="J11" s="643"/>
      <c r="K11" s="14"/>
      <c r="L11" s="4"/>
    </row>
    <row r="12" spans="2:23" ht="30.75" customHeight="1" thickBot="1" x14ac:dyDescent="0.35">
      <c r="B12" s="665" t="s">
        <v>56</v>
      </c>
      <c r="C12" s="666"/>
      <c r="D12" s="666"/>
      <c r="E12" s="666"/>
      <c r="F12" s="666"/>
      <c r="G12" s="666"/>
      <c r="H12" s="666"/>
      <c r="I12" s="666"/>
      <c r="J12" s="666"/>
      <c r="K12" s="5"/>
      <c r="L12" s="4"/>
      <c r="T12" s="15"/>
      <c r="U12" s="15"/>
    </row>
    <row r="13" spans="2:23" ht="12.75" customHeight="1" thickBot="1" x14ac:dyDescent="0.35">
      <c r="B13" s="667" t="s">
        <v>57</v>
      </c>
      <c r="C13" s="666"/>
      <c r="D13" s="666"/>
      <c r="E13" s="666"/>
      <c r="F13" s="666"/>
      <c r="G13" s="666"/>
      <c r="H13" s="666"/>
      <c r="I13" s="666"/>
      <c r="J13" s="666"/>
      <c r="K13" s="5"/>
      <c r="L13" s="4"/>
      <c r="T13" s="15"/>
      <c r="U13" s="15"/>
    </row>
    <row r="14" spans="2:23" ht="12.75" customHeight="1" thickBot="1" x14ac:dyDescent="0.35">
      <c r="B14" s="667" t="s">
        <v>58</v>
      </c>
      <c r="C14" s="666"/>
      <c r="D14" s="666"/>
      <c r="E14" s="666"/>
      <c r="F14" s="666"/>
      <c r="G14" s="666"/>
      <c r="H14" s="666"/>
      <c r="I14" s="666"/>
      <c r="J14" s="666"/>
      <c r="K14" s="5"/>
      <c r="L14" s="4"/>
      <c r="T14" s="16"/>
      <c r="U14" s="16"/>
    </row>
    <row r="15" spans="2:23" ht="6.6" customHeight="1" thickBot="1" x14ac:dyDescent="0.35">
      <c r="B15" s="100"/>
      <c r="C15" s="5"/>
      <c r="D15" s="5"/>
      <c r="E15" s="5"/>
      <c r="F15" s="5"/>
      <c r="G15" s="5"/>
      <c r="H15" s="5"/>
      <c r="I15" s="5"/>
      <c r="J15" s="5"/>
      <c r="K15" s="5"/>
      <c r="L15" s="4"/>
      <c r="T15" s="16"/>
      <c r="U15" s="16"/>
    </row>
    <row r="16" spans="2:23" ht="24" customHeight="1" thickBot="1" x14ac:dyDescent="0.35">
      <c r="B16" s="668" t="s">
        <v>251</v>
      </c>
      <c r="C16" s="669"/>
      <c r="D16" s="669"/>
      <c r="E16" s="669"/>
      <c r="F16" s="669"/>
      <c r="G16" s="669"/>
      <c r="H16" s="669"/>
      <c r="I16" s="669"/>
      <c r="J16" s="670"/>
      <c r="K16" s="5"/>
      <c r="L16" s="4"/>
      <c r="T16" s="16"/>
      <c r="U16" s="16"/>
    </row>
    <row r="17" spans="1:21" ht="27" thickBot="1" x14ac:dyDescent="0.35">
      <c r="B17" s="604">
        <v>1</v>
      </c>
      <c r="C17" s="603" t="s">
        <v>59</v>
      </c>
      <c r="D17" s="571"/>
      <c r="E17" s="572"/>
      <c r="F17" s="119" t="s">
        <v>60</v>
      </c>
      <c r="G17" s="119" t="s">
        <v>61</v>
      </c>
      <c r="H17" s="119" t="s">
        <v>62</v>
      </c>
      <c r="I17" s="119" t="s">
        <v>63</v>
      </c>
      <c r="J17" s="120" t="s">
        <v>64</v>
      </c>
      <c r="K17" s="18"/>
      <c r="L17" s="121" t="s">
        <v>65</v>
      </c>
      <c r="M17" s="122" t="s">
        <v>216</v>
      </c>
      <c r="N17" s="122" t="s">
        <v>217</v>
      </c>
      <c r="O17" s="122" t="s">
        <v>274</v>
      </c>
      <c r="P17" s="122" t="s">
        <v>273</v>
      </c>
      <c r="Q17" s="19"/>
      <c r="S17" s="19"/>
      <c r="T17" s="16"/>
      <c r="U17" s="16"/>
    </row>
    <row r="18" spans="1:21" s="110" customFormat="1" ht="3.75" customHeight="1" x14ac:dyDescent="0.3">
      <c r="B18" s="575" t="s">
        <v>59</v>
      </c>
      <c r="C18" s="575" t="s">
        <v>330</v>
      </c>
      <c r="D18" s="575" t="s">
        <v>331</v>
      </c>
      <c r="E18" s="575" t="s">
        <v>332</v>
      </c>
      <c r="F18" s="576" t="s">
        <v>60</v>
      </c>
      <c r="G18" s="576" t="s">
        <v>61</v>
      </c>
      <c r="H18" s="576" t="s">
        <v>62</v>
      </c>
      <c r="I18" s="576" t="s">
        <v>63</v>
      </c>
      <c r="J18" s="577" t="s">
        <v>64</v>
      </c>
      <c r="K18" s="18" t="s">
        <v>271</v>
      </c>
      <c r="L18" s="578" t="s">
        <v>65</v>
      </c>
      <c r="M18" s="579" t="s">
        <v>216</v>
      </c>
      <c r="N18" s="579" t="s">
        <v>217</v>
      </c>
      <c r="O18" s="579" t="s">
        <v>274</v>
      </c>
      <c r="P18" s="579" t="s">
        <v>273</v>
      </c>
      <c r="Q18" s="580"/>
      <c r="S18" s="580"/>
      <c r="T18" s="581"/>
      <c r="U18" s="581"/>
    </row>
    <row r="19" spans="1:21" s="582" customFormat="1" ht="13.95" customHeight="1" x14ac:dyDescent="0.3">
      <c r="B19" s="601" t="s">
        <v>340</v>
      </c>
      <c r="C19" s="594"/>
      <c r="D19" s="594"/>
      <c r="E19" s="594"/>
      <c r="F19" s="595"/>
      <c r="G19" s="595"/>
      <c r="H19" s="596"/>
      <c r="I19" s="596"/>
      <c r="J19" s="602">
        <f>IF(SUM(F20:F35)&gt;=1,0.001,0)</f>
        <v>1E-3</v>
      </c>
      <c r="K19" s="597"/>
      <c r="L19" s="598"/>
      <c r="M19" s="599"/>
      <c r="N19" s="599"/>
      <c r="O19" s="600"/>
      <c r="P19" s="600"/>
      <c r="Q19" s="19"/>
      <c r="S19" s="19"/>
      <c r="T19" s="16"/>
      <c r="U19" s="16"/>
    </row>
    <row r="20" spans="1:21" s="582" customFormat="1" ht="13.8" x14ac:dyDescent="0.3">
      <c r="A20" s="605" t="s">
        <v>341</v>
      </c>
      <c r="B20" s="593" t="s">
        <v>66</v>
      </c>
      <c r="C20" s="583"/>
      <c r="D20" s="583"/>
      <c r="E20" s="584"/>
      <c r="F20" s="585">
        <v>0</v>
      </c>
      <c r="G20" s="585">
        <f t="shared" ref="G20:G35" si="0">$F$9</f>
        <v>25</v>
      </c>
      <c r="H20" s="586">
        <f t="shared" ref="H20:H35" si="1">L20/30</f>
        <v>500</v>
      </c>
      <c r="I20" s="586">
        <v>0</v>
      </c>
      <c r="J20" s="587">
        <f t="shared" ref="J20:J35" si="2">ROUND((F20*G20*H20)+I20,2)</f>
        <v>0</v>
      </c>
      <c r="K20" s="588"/>
      <c r="L20" s="589">
        <v>15000</v>
      </c>
      <c r="M20" s="590">
        <f t="shared" ref="M20:M35" si="3">L20/220</f>
        <v>68.181818181818187</v>
      </c>
      <c r="N20" s="590">
        <f t="shared" ref="N20:N35" si="4">M20*2*1.1</f>
        <v>150.00000000000003</v>
      </c>
      <c r="O20" s="591">
        <f t="shared" ref="O20:O35" si="5">F20*G20</f>
        <v>0</v>
      </c>
      <c r="P20" s="592">
        <f t="shared" ref="P20:P35" si="6">IF(G20&lt;&gt;$F$9,F20*G20,$H$9*F20)</f>
        <v>0</v>
      </c>
      <c r="Q20" s="19"/>
      <c r="S20" s="19"/>
      <c r="T20" s="16"/>
      <c r="U20" s="16"/>
    </row>
    <row r="21" spans="1:21" s="582" customFormat="1" ht="13.8" x14ac:dyDescent="0.3">
      <c r="A21" s="605" t="s">
        <v>334</v>
      </c>
      <c r="B21" s="593" t="s">
        <v>67</v>
      </c>
      <c r="C21" s="583"/>
      <c r="D21" s="583"/>
      <c r="E21" s="584"/>
      <c r="F21" s="585">
        <v>0</v>
      </c>
      <c r="G21" s="585">
        <f t="shared" si="0"/>
        <v>25</v>
      </c>
      <c r="H21" s="586">
        <f t="shared" si="1"/>
        <v>381.33333333333331</v>
      </c>
      <c r="I21" s="586">
        <v>0</v>
      </c>
      <c r="J21" s="587">
        <f t="shared" si="2"/>
        <v>0</v>
      </c>
      <c r="K21" s="588"/>
      <c r="L21" s="589">
        <v>11440</v>
      </c>
      <c r="M21" s="590">
        <f t="shared" si="3"/>
        <v>52</v>
      </c>
      <c r="N21" s="590">
        <f t="shared" si="4"/>
        <v>114.4</v>
      </c>
      <c r="O21" s="591">
        <f t="shared" si="5"/>
        <v>0</v>
      </c>
      <c r="P21" s="592">
        <f t="shared" si="6"/>
        <v>0</v>
      </c>
      <c r="Q21" s="19"/>
      <c r="S21" s="19"/>
      <c r="T21" s="16"/>
      <c r="U21" s="16"/>
    </row>
    <row r="22" spans="1:21" s="582" customFormat="1" ht="13.8" x14ac:dyDescent="0.3">
      <c r="A22" s="605" t="s">
        <v>335</v>
      </c>
      <c r="B22" s="593" t="s">
        <v>68</v>
      </c>
      <c r="C22" s="583"/>
      <c r="D22" s="583"/>
      <c r="E22" s="584"/>
      <c r="F22" s="585">
        <v>1</v>
      </c>
      <c r="G22" s="585">
        <f t="shared" si="0"/>
        <v>25</v>
      </c>
      <c r="H22" s="586">
        <f t="shared" si="1"/>
        <v>381.33333333333331</v>
      </c>
      <c r="I22" s="586">
        <v>0</v>
      </c>
      <c r="J22" s="587">
        <f t="shared" si="2"/>
        <v>9533.33</v>
      </c>
      <c r="K22" s="588"/>
      <c r="L22" s="589">
        <v>11440</v>
      </c>
      <c r="M22" s="590">
        <f t="shared" si="3"/>
        <v>52</v>
      </c>
      <c r="N22" s="590">
        <f t="shared" si="4"/>
        <v>114.4</v>
      </c>
      <c r="O22" s="591">
        <f t="shared" si="5"/>
        <v>25</v>
      </c>
      <c r="P22" s="592">
        <f t="shared" si="6"/>
        <v>25</v>
      </c>
      <c r="Q22" s="19"/>
      <c r="S22" s="19"/>
      <c r="T22" s="16"/>
      <c r="U22" s="16"/>
    </row>
    <row r="23" spans="1:21" s="582" customFormat="1" ht="13.8" x14ac:dyDescent="0.3">
      <c r="A23" s="605" t="s">
        <v>339</v>
      </c>
      <c r="B23" s="593" t="s">
        <v>69</v>
      </c>
      <c r="C23" s="583"/>
      <c r="D23" s="583"/>
      <c r="E23" s="584"/>
      <c r="F23" s="585">
        <v>1</v>
      </c>
      <c r="G23" s="585">
        <f>$F$9</f>
        <v>25</v>
      </c>
      <c r="H23" s="586">
        <f t="shared" si="1"/>
        <v>381.33333333333331</v>
      </c>
      <c r="I23" s="586">
        <v>0</v>
      </c>
      <c r="J23" s="587">
        <f t="shared" si="2"/>
        <v>9533.33</v>
      </c>
      <c r="K23" s="588"/>
      <c r="L23" s="589">
        <v>11440</v>
      </c>
      <c r="M23" s="590">
        <f t="shared" si="3"/>
        <v>52</v>
      </c>
      <c r="N23" s="590">
        <f t="shared" si="4"/>
        <v>114.4</v>
      </c>
      <c r="O23" s="591">
        <f t="shared" si="5"/>
        <v>25</v>
      </c>
      <c r="P23" s="592">
        <f t="shared" si="6"/>
        <v>25</v>
      </c>
      <c r="Q23" s="19"/>
      <c r="S23" s="19"/>
      <c r="T23" s="16"/>
      <c r="U23" s="16"/>
    </row>
    <row r="24" spans="1:21" s="582" customFormat="1" ht="13.8" x14ac:dyDescent="0.3">
      <c r="B24" s="593" t="s">
        <v>160</v>
      </c>
      <c r="C24" s="583"/>
      <c r="D24" s="583"/>
      <c r="E24" s="584"/>
      <c r="F24" s="585">
        <v>0</v>
      </c>
      <c r="G24" s="585">
        <f t="shared" si="0"/>
        <v>25</v>
      </c>
      <c r="H24" s="586">
        <f t="shared" si="1"/>
        <v>208</v>
      </c>
      <c r="I24" s="586">
        <v>0</v>
      </c>
      <c r="J24" s="587">
        <f t="shared" si="2"/>
        <v>0</v>
      </c>
      <c r="K24" s="588"/>
      <c r="L24" s="589">
        <v>6240</v>
      </c>
      <c r="M24" s="590">
        <f t="shared" si="3"/>
        <v>28.363636363636363</v>
      </c>
      <c r="N24" s="590">
        <f t="shared" si="4"/>
        <v>62.400000000000006</v>
      </c>
      <c r="O24" s="591">
        <f t="shared" si="5"/>
        <v>0</v>
      </c>
      <c r="P24" s="592">
        <f t="shared" si="6"/>
        <v>0</v>
      </c>
      <c r="Q24" s="19"/>
      <c r="S24" s="19"/>
      <c r="T24" s="16"/>
      <c r="U24" s="16"/>
    </row>
    <row r="25" spans="1:21" s="582" customFormat="1" ht="13.8" x14ac:dyDescent="0.3">
      <c r="B25" s="593" t="s">
        <v>70</v>
      </c>
      <c r="C25" s="583"/>
      <c r="D25" s="583"/>
      <c r="E25" s="584"/>
      <c r="F25" s="585">
        <v>0</v>
      </c>
      <c r="G25" s="585">
        <f t="shared" si="0"/>
        <v>25</v>
      </c>
      <c r="H25" s="586">
        <f t="shared" si="1"/>
        <v>186.66666666666666</v>
      </c>
      <c r="I25" s="586">
        <v>0</v>
      </c>
      <c r="J25" s="587">
        <f t="shared" si="2"/>
        <v>0</v>
      </c>
      <c r="K25" s="588"/>
      <c r="L25" s="589">
        <v>5600</v>
      </c>
      <c r="M25" s="590">
        <f t="shared" si="3"/>
        <v>25.454545454545453</v>
      </c>
      <c r="N25" s="590">
        <f t="shared" si="4"/>
        <v>56</v>
      </c>
      <c r="O25" s="591">
        <f t="shared" si="5"/>
        <v>0</v>
      </c>
      <c r="P25" s="592">
        <f t="shared" si="6"/>
        <v>0</v>
      </c>
      <c r="Q25" s="19"/>
      <c r="S25" s="19"/>
      <c r="T25" s="16"/>
      <c r="U25" s="16"/>
    </row>
    <row r="26" spans="1:21" s="582" customFormat="1" ht="12.75" customHeight="1" x14ac:dyDescent="0.3">
      <c r="B26" s="593" t="s">
        <v>71</v>
      </c>
      <c r="C26" s="583"/>
      <c r="D26" s="583"/>
      <c r="E26" s="584"/>
      <c r="F26" s="585">
        <v>0</v>
      </c>
      <c r="G26" s="585">
        <f t="shared" si="0"/>
        <v>25</v>
      </c>
      <c r="H26" s="586">
        <f t="shared" si="1"/>
        <v>164.66666666666666</v>
      </c>
      <c r="I26" s="586">
        <v>0</v>
      </c>
      <c r="J26" s="587">
        <f t="shared" si="2"/>
        <v>0</v>
      </c>
      <c r="K26" s="588"/>
      <c r="L26" s="589">
        <v>4940</v>
      </c>
      <c r="M26" s="590">
        <f t="shared" si="3"/>
        <v>22.454545454545453</v>
      </c>
      <c r="N26" s="590">
        <f t="shared" si="4"/>
        <v>49.4</v>
      </c>
      <c r="O26" s="591">
        <f t="shared" si="5"/>
        <v>0</v>
      </c>
      <c r="P26" s="592">
        <f t="shared" si="6"/>
        <v>0</v>
      </c>
      <c r="Q26" s="19"/>
      <c r="S26" s="19"/>
      <c r="T26" s="16"/>
      <c r="U26" s="16"/>
    </row>
    <row r="27" spans="1:21" s="582" customFormat="1" ht="13.8" x14ac:dyDescent="0.3">
      <c r="B27" s="593" t="s">
        <v>72</v>
      </c>
      <c r="C27" s="583"/>
      <c r="D27" s="583"/>
      <c r="E27" s="584"/>
      <c r="F27" s="585">
        <v>0</v>
      </c>
      <c r="G27" s="585">
        <f t="shared" si="0"/>
        <v>25</v>
      </c>
      <c r="H27" s="586">
        <f t="shared" si="1"/>
        <v>164.66666666666666</v>
      </c>
      <c r="I27" s="586">
        <v>0</v>
      </c>
      <c r="J27" s="587">
        <f t="shared" si="2"/>
        <v>0</v>
      </c>
      <c r="K27" s="588"/>
      <c r="L27" s="589">
        <v>4940</v>
      </c>
      <c r="M27" s="590">
        <f t="shared" si="3"/>
        <v>22.454545454545453</v>
      </c>
      <c r="N27" s="590">
        <f t="shared" si="4"/>
        <v>49.4</v>
      </c>
      <c r="O27" s="591">
        <f t="shared" si="5"/>
        <v>0</v>
      </c>
      <c r="P27" s="592">
        <f t="shared" si="6"/>
        <v>0</v>
      </c>
      <c r="Q27" s="19"/>
      <c r="S27" s="19"/>
      <c r="T27" s="16"/>
      <c r="U27" s="16"/>
    </row>
    <row r="28" spans="1:21" s="582" customFormat="1" ht="13.8" x14ac:dyDescent="0.3">
      <c r="B28" s="593" t="s">
        <v>192</v>
      </c>
      <c r="C28" s="583"/>
      <c r="D28" s="583"/>
      <c r="E28" s="584"/>
      <c r="F28" s="585">
        <v>1</v>
      </c>
      <c r="G28" s="585">
        <f t="shared" si="0"/>
        <v>25</v>
      </c>
      <c r="H28" s="586">
        <f t="shared" si="1"/>
        <v>152.53333333333333</v>
      </c>
      <c r="I28" s="586">
        <v>0</v>
      </c>
      <c r="J28" s="587">
        <f t="shared" si="2"/>
        <v>3813.33</v>
      </c>
      <c r="K28" s="588"/>
      <c r="L28" s="589">
        <v>4576</v>
      </c>
      <c r="M28" s="590">
        <f t="shared" si="3"/>
        <v>20.8</v>
      </c>
      <c r="N28" s="590">
        <f t="shared" si="4"/>
        <v>45.760000000000005</v>
      </c>
      <c r="O28" s="591">
        <f t="shared" si="5"/>
        <v>25</v>
      </c>
      <c r="P28" s="592">
        <f t="shared" si="6"/>
        <v>25</v>
      </c>
      <c r="Q28" s="19"/>
      <c r="S28" s="19"/>
      <c r="T28" s="16"/>
      <c r="U28" s="16"/>
    </row>
    <row r="29" spans="1:21" s="582" customFormat="1" ht="12" customHeight="1" x14ac:dyDescent="0.3">
      <c r="B29" s="593" t="s">
        <v>75</v>
      </c>
      <c r="C29" s="583"/>
      <c r="D29" s="583"/>
      <c r="E29" s="584"/>
      <c r="F29" s="585">
        <v>0</v>
      </c>
      <c r="G29" s="585">
        <f t="shared" si="0"/>
        <v>25</v>
      </c>
      <c r="H29" s="586">
        <f t="shared" si="1"/>
        <v>151.66666666666666</v>
      </c>
      <c r="I29" s="586">
        <v>0</v>
      </c>
      <c r="J29" s="587">
        <f t="shared" si="2"/>
        <v>0</v>
      </c>
      <c r="K29" s="588"/>
      <c r="L29" s="589">
        <v>4550</v>
      </c>
      <c r="M29" s="590">
        <f t="shared" si="3"/>
        <v>20.681818181818183</v>
      </c>
      <c r="N29" s="590">
        <f t="shared" si="4"/>
        <v>45.500000000000007</v>
      </c>
      <c r="O29" s="591">
        <f t="shared" si="5"/>
        <v>0</v>
      </c>
      <c r="P29" s="592">
        <f t="shared" si="6"/>
        <v>0</v>
      </c>
      <c r="Q29" s="19"/>
      <c r="S29" s="19"/>
      <c r="T29" s="16"/>
      <c r="U29" s="16"/>
    </row>
    <row r="30" spans="1:21" s="582" customFormat="1" ht="13.8" x14ac:dyDescent="0.3">
      <c r="B30" s="593" t="s">
        <v>237</v>
      </c>
      <c r="C30" s="583"/>
      <c r="D30" s="583"/>
      <c r="E30" s="584"/>
      <c r="F30" s="585">
        <v>0</v>
      </c>
      <c r="G30" s="585">
        <f t="shared" si="0"/>
        <v>25</v>
      </c>
      <c r="H30" s="586">
        <f t="shared" si="1"/>
        <v>130</v>
      </c>
      <c r="I30" s="586">
        <v>0</v>
      </c>
      <c r="J30" s="587">
        <f t="shared" si="2"/>
        <v>0</v>
      </c>
      <c r="K30" s="588"/>
      <c r="L30" s="589">
        <v>3900</v>
      </c>
      <c r="M30" s="590">
        <f t="shared" si="3"/>
        <v>17.727272727272727</v>
      </c>
      <c r="N30" s="590">
        <f t="shared" si="4"/>
        <v>39</v>
      </c>
      <c r="O30" s="591">
        <f t="shared" si="5"/>
        <v>0</v>
      </c>
      <c r="P30" s="592">
        <f t="shared" si="6"/>
        <v>0</v>
      </c>
      <c r="Q30" s="19"/>
      <c r="S30" s="19"/>
      <c r="T30" s="16"/>
      <c r="U30" s="16"/>
    </row>
    <row r="31" spans="1:21" s="582" customFormat="1" ht="13.95" customHeight="1" x14ac:dyDescent="0.3">
      <c r="B31" s="593" t="s">
        <v>74</v>
      </c>
      <c r="C31" s="583"/>
      <c r="D31" s="583"/>
      <c r="E31" s="584"/>
      <c r="F31" s="585">
        <v>0</v>
      </c>
      <c r="G31" s="585">
        <f t="shared" si="0"/>
        <v>25</v>
      </c>
      <c r="H31" s="586">
        <f t="shared" si="1"/>
        <v>125</v>
      </c>
      <c r="I31" s="586">
        <v>0</v>
      </c>
      <c r="J31" s="587">
        <f t="shared" si="2"/>
        <v>0</v>
      </c>
      <c r="K31" s="588"/>
      <c r="L31" s="589">
        <v>3750</v>
      </c>
      <c r="M31" s="590">
        <f t="shared" si="3"/>
        <v>17.045454545454547</v>
      </c>
      <c r="N31" s="590">
        <f t="shared" si="4"/>
        <v>37.500000000000007</v>
      </c>
      <c r="O31" s="591">
        <f t="shared" si="5"/>
        <v>0</v>
      </c>
      <c r="P31" s="592">
        <f t="shared" si="6"/>
        <v>0</v>
      </c>
      <c r="Q31" s="19"/>
      <c r="S31" s="19"/>
      <c r="T31" s="16"/>
      <c r="U31" s="16"/>
    </row>
    <row r="32" spans="1:21" s="582" customFormat="1" ht="13.95" customHeight="1" x14ac:dyDescent="0.3">
      <c r="B32" s="593" t="s">
        <v>76</v>
      </c>
      <c r="C32" s="583"/>
      <c r="D32" s="583"/>
      <c r="E32" s="584"/>
      <c r="F32" s="585">
        <v>0</v>
      </c>
      <c r="G32" s="585">
        <f t="shared" si="0"/>
        <v>25</v>
      </c>
      <c r="H32" s="586">
        <f t="shared" si="1"/>
        <v>121.33333333333333</v>
      </c>
      <c r="I32" s="586">
        <v>0</v>
      </c>
      <c r="J32" s="587">
        <f t="shared" si="2"/>
        <v>0</v>
      </c>
      <c r="K32" s="588"/>
      <c r="L32" s="589">
        <v>3640</v>
      </c>
      <c r="M32" s="590">
        <f t="shared" si="3"/>
        <v>16.545454545454547</v>
      </c>
      <c r="N32" s="590">
        <f t="shared" si="4"/>
        <v>36.400000000000006</v>
      </c>
      <c r="O32" s="591">
        <f t="shared" si="5"/>
        <v>0</v>
      </c>
      <c r="P32" s="592">
        <f t="shared" si="6"/>
        <v>0</v>
      </c>
      <c r="Q32" s="19"/>
      <c r="S32" s="19"/>
      <c r="T32" s="16"/>
      <c r="U32" s="16"/>
    </row>
    <row r="33" spans="2:22" s="582" customFormat="1" ht="13.95" customHeight="1" x14ac:dyDescent="0.3">
      <c r="B33" s="593" t="s">
        <v>161</v>
      </c>
      <c r="C33" s="583"/>
      <c r="D33" s="583"/>
      <c r="E33" s="584"/>
      <c r="F33" s="585">
        <v>0</v>
      </c>
      <c r="G33" s="585">
        <f t="shared" si="0"/>
        <v>25</v>
      </c>
      <c r="H33" s="586">
        <f t="shared" si="1"/>
        <v>121.33333333333333</v>
      </c>
      <c r="I33" s="586">
        <v>0</v>
      </c>
      <c r="J33" s="587">
        <f t="shared" si="2"/>
        <v>0</v>
      </c>
      <c r="K33" s="588"/>
      <c r="L33" s="589">
        <v>3640</v>
      </c>
      <c r="M33" s="590">
        <f t="shared" si="3"/>
        <v>16.545454545454547</v>
      </c>
      <c r="N33" s="590">
        <f t="shared" si="4"/>
        <v>36.400000000000006</v>
      </c>
      <c r="O33" s="591">
        <f t="shared" si="5"/>
        <v>0</v>
      </c>
      <c r="P33" s="592">
        <f t="shared" si="6"/>
        <v>0</v>
      </c>
      <c r="Q33" s="19"/>
      <c r="S33" s="19"/>
      <c r="T33" s="16"/>
      <c r="U33" s="16"/>
    </row>
    <row r="34" spans="2:22" s="582" customFormat="1" ht="13.8" x14ac:dyDescent="0.3">
      <c r="B34" s="593" t="s">
        <v>73</v>
      </c>
      <c r="C34" s="583"/>
      <c r="D34" s="583"/>
      <c r="E34" s="584"/>
      <c r="F34" s="585">
        <v>0</v>
      </c>
      <c r="G34" s="585">
        <f t="shared" si="0"/>
        <v>25</v>
      </c>
      <c r="H34" s="586">
        <f t="shared" si="1"/>
        <v>106.66666666666667</v>
      </c>
      <c r="I34" s="586">
        <v>0</v>
      </c>
      <c r="J34" s="587">
        <f t="shared" si="2"/>
        <v>0</v>
      </c>
      <c r="K34" s="588"/>
      <c r="L34" s="589">
        <v>3200</v>
      </c>
      <c r="M34" s="590">
        <f t="shared" si="3"/>
        <v>14.545454545454545</v>
      </c>
      <c r="N34" s="590">
        <f t="shared" si="4"/>
        <v>32</v>
      </c>
      <c r="O34" s="591">
        <f t="shared" si="5"/>
        <v>0</v>
      </c>
      <c r="P34" s="592">
        <f t="shared" si="6"/>
        <v>0</v>
      </c>
      <c r="Q34" s="19"/>
      <c r="S34" s="19"/>
      <c r="T34" s="16"/>
      <c r="U34" s="16"/>
    </row>
    <row r="35" spans="2:22" s="582" customFormat="1" ht="13.95" customHeight="1" x14ac:dyDescent="0.3">
      <c r="B35" s="593" t="s">
        <v>215</v>
      </c>
      <c r="C35" s="583"/>
      <c r="D35" s="583"/>
      <c r="E35" s="584"/>
      <c r="F35" s="585">
        <v>0</v>
      </c>
      <c r="G35" s="585">
        <f t="shared" si="0"/>
        <v>25</v>
      </c>
      <c r="H35" s="586">
        <f t="shared" si="1"/>
        <v>95</v>
      </c>
      <c r="I35" s="586">
        <v>0</v>
      </c>
      <c r="J35" s="587">
        <f t="shared" si="2"/>
        <v>0</v>
      </c>
      <c r="K35" s="588"/>
      <c r="L35" s="589">
        <v>2850</v>
      </c>
      <c r="M35" s="590">
        <f t="shared" si="3"/>
        <v>12.954545454545455</v>
      </c>
      <c r="N35" s="590">
        <f t="shared" si="4"/>
        <v>28.500000000000004</v>
      </c>
      <c r="O35" s="591">
        <f t="shared" si="5"/>
        <v>0</v>
      </c>
      <c r="P35" s="592">
        <f t="shared" si="6"/>
        <v>0</v>
      </c>
      <c r="Q35" s="19"/>
      <c r="S35" s="19"/>
      <c r="T35" s="16"/>
      <c r="U35" s="16"/>
    </row>
    <row r="36" spans="2:22" s="582" customFormat="1" ht="13.95" customHeight="1" x14ac:dyDescent="0.3">
      <c r="B36" s="601" t="s">
        <v>333</v>
      </c>
      <c r="C36" s="594"/>
      <c r="D36" s="594"/>
      <c r="E36" s="594"/>
      <c r="F36" s="595"/>
      <c r="G36" s="595"/>
      <c r="H36" s="596"/>
      <c r="I36" s="596"/>
      <c r="J36" s="602">
        <f>IF(SUM(F37:F39)&gt;=1,0.001,0)</f>
        <v>0</v>
      </c>
      <c r="K36" s="597"/>
      <c r="L36" s="598"/>
      <c r="M36" s="599"/>
      <c r="N36" s="599"/>
      <c r="O36" s="600"/>
      <c r="P36" s="600"/>
      <c r="Q36" s="19"/>
      <c r="S36" s="19"/>
      <c r="T36" s="16"/>
      <c r="U36" s="16"/>
    </row>
    <row r="37" spans="2:22" s="582" customFormat="1" ht="13.8" x14ac:dyDescent="0.3">
      <c r="B37" s="593" t="s">
        <v>336</v>
      </c>
      <c r="C37" s="583"/>
      <c r="D37" s="583"/>
      <c r="E37" s="584"/>
      <c r="F37" s="585">
        <v>0</v>
      </c>
      <c r="G37" s="585">
        <f>$F$9</f>
        <v>25</v>
      </c>
      <c r="H37" s="586">
        <f>L37/30</f>
        <v>381.33333333333331</v>
      </c>
      <c r="I37" s="586">
        <v>0</v>
      </c>
      <c r="J37" s="587">
        <f>ROUND((F37*G37*H37)+I37,2)</f>
        <v>0</v>
      </c>
      <c r="K37" s="588"/>
      <c r="L37" s="589">
        <v>11440</v>
      </c>
      <c r="M37" s="590">
        <f>L37/220</f>
        <v>52</v>
      </c>
      <c r="N37" s="590">
        <f>M37*2*1.1</f>
        <v>114.4</v>
      </c>
      <c r="O37" s="591">
        <f>F37*G37</f>
        <v>0</v>
      </c>
      <c r="P37" s="592">
        <f t="shared" ref="P37:P39" si="7">IF(G37&lt;&gt;$F$9,F37*G37,$H$9*F37)</f>
        <v>0</v>
      </c>
      <c r="Q37" s="19"/>
      <c r="S37" s="19"/>
      <c r="T37" s="16"/>
      <c r="U37" s="16"/>
    </row>
    <row r="38" spans="2:22" s="582" customFormat="1" ht="13.8" x14ac:dyDescent="0.3">
      <c r="B38" s="593" t="s">
        <v>337</v>
      </c>
      <c r="C38" s="583"/>
      <c r="D38" s="583"/>
      <c r="E38" s="584"/>
      <c r="F38" s="585">
        <v>0</v>
      </c>
      <c r="G38" s="585">
        <f>$F$9</f>
        <v>25</v>
      </c>
      <c r="H38" s="586">
        <f>L38/30</f>
        <v>152.53333333333333</v>
      </c>
      <c r="I38" s="586">
        <v>0</v>
      </c>
      <c r="J38" s="587">
        <f>ROUND((F38*G38*H38)+I38,2)</f>
        <v>0</v>
      </c>
      <c r="K38" s="588"/>
      <c r="L38" s="589">
        <v>4576</v>
      </c>
      <c r="M38" s="590">
        <f>L38/220</f>
        <v>20.8</v>
      </c>
      <c r="N38" s="590">
        <f>M38*2*1.1</f>
        <v>45.760000000000005</v>
      </c>
      <c r="O38" s="591">
        <f>F38*G38</f>
        <v>0</v>
      </c>
      <c r="P38" s="592">
        <f t="shared" si="7"/>
        <v>0</v>
      </c>
      <c r="Q38" s="19"/>
      <c r="S38" s="19"/>
      <c r="T38" s="16"/>
      <c r="U38" s="16"/>
    </row>
    <row r="39" spans="2:22" s="582" customFormat="1" ht="14.4" thickBot="1" x14ac:dyDescent="0.35">
      <c r="B39" s="593" t="s">
        <v>338</v>
      </c>
      <c r="C39" s="583"/>
      <c r="D39" s="583"/>
      <c r="E39" s="584"/>
      <c r="F39" s="585">
        <v>0</v>
      </c>
      <c r="G39" s="585">
        <f>$F$9</f>
        <v>25</v>
      </c>
      <c r="H39" s="586">
        <f>L39/30</f>
        <v>143</v>
      </c>
      <c r="I39" s="586">
        <v>0</v>
      </c>
      <c r="J39" s="587">
        <f>ROUND((F39*G39*H39)+I39,2)</f>
        <v>0</v>
      </c>
      <c r="K39" s="588"/>
      <c r="L39" s="589">
        <v>4290</v>
      </c>
      <c r="M39" s="590">
        <f>L39/220</f>
        <v>19.5</v>
      </c>
      <c r="N39" s="590">
        <f>M39*2*1.1</f>
        <v>42.900000000000006</v>
      </c>
      <c r="O39" s="591">
        <f>F39*G39</f>
        <v>0</v>
      </c>
      <c r="P39" s="592">
        <f t="shared" si="7"/>
        <v>0</v>
      </c>
      <c r="Q39" s="19"/>
      <c r="S39" s="19"/>
      <c r="T39" s="16"/>
      <c r="U39" s="16"/>
    </row>
    <row r="40" spans="2:22" ht="12.75" customHeight="1" x14ac:dyDescent="0.3">
      <c r="B40" s="612" t="s">
        <v>77</v>
      </c>
      <c r="C40" s="613"/>
      <c r="D40" s="613"/>
      <c r="E40" s="614"/>
      <c r="F40" s="607">
        <f>SUM(F19:F39)</f>
        <v>3</v>
      </c>
      <c r="G40" s="113" t="s">
        <v>78</v>
      </c>
      <c r="H40" s="114" t="s">
        <v>163</v>
      </c>
      <c r="I40" s="115"/>
      <c r="J40" s="608">
        <f>SUM(J19:J39)</f>
        <v>22879.991000000002</v>
      </c>
      <c r="K40" s="26"/>
      <c r="L40" s="4"/>
      <c r="M40" s="15"/>
      <c r="N40" s="126" t="s">
        <v>275</v>
      </c>
      <c r="O40" s="609">
        <f>SUM(O19:O39)</f>
        <v>75</v>
      </c>
      <c r="P40" s="609">
        <f>SUM(P19:P39)</f>
        <v>75</v>
      </c>
      <c r="Q40" s="127"/>
      <c r="R40" s="582"/>
      <c r="S40" s="15"/>
      <c r="T40" s="15"/>
      <c r="U40" s="15"/>
    </row>
    <row r="41" spans="2:22" ht="14.25" customHeight="1" x14ac:dyDescent="0.3">
      <c r="B41" s="620" t="s">
        <v>162</v>
      </c>
      <c r="C41" s="621"/>
      <c r="D41" s="621"/>
      <c r="E41" s="621"/>
      <c r="F41" s="622"/>
      <c r="G41" s="27">
        <v>0.3</v>
      </c>
      <c r="H41" s="94" t="s">
        <v>164</v>
      </c>
      <c r="I41" s="28"/>
      <c r="J41" s="606">
        <f>IF(H41="Sim",SUM(J19:J39)*G41,)</f>
        <v>0</v>
      </c>
      <c r="K41" s="21"/>
      <c r="L41" s="4"/>
      <c r="R41" s="582"/>
      <c r="T41" s="11"/>
      <c r="U41" s="11"/>
      <c r="V41" s="11"/>
    </row>
    <row r="42" spans="2:22" ht="6" customHeight="1" collapsed="1" x14ac:dyDescent="0.3">
      <c r="B42" s="116"/>
      <c r="C42" s="17"/>
      <c r="D42" s="17"/>
      <c r="E42" s="17"/>
      <c r="F42" s="17"/>
      <c r="G42" s="17"/>
      <c r="H42" s="17"/>
      <c r="I42" s="17"/>
      <c r="J42" s="117"/>
      <c r="K42" s="5"/>
      <c r="O42" s="16"/>
      <c r="P42" s="16"/>
      <c r="R42" s="582"/>
    </row>
    <row r="43" spans="2:22" ht="14.25" customHeight="1" x14ac:dyDescent="0.3">
      <c r="B43" s="641"/>
      <c r="C43" s="621"/>
      <c r="D43" s="621"/>
      <c r="E43" s="621"/>
      <c r="F43" s="622"/>
      <c r="G43" s="24" t="s">
        <v>79</v>
      </c>
      <c r="H43" s="25"/>
      <c r="I43" s="25"/>
      <c r="J43" s="445">
        <f>SUM(J40:J41)</f>
        <v>22879.991000000002</v>
      </c>
      <c r="K43" s="26"/>
      <c r="O43" s="15"/>
      <c r="P43" s="15"/>
      <c r="R43" s="582"/>
    </row>
    <row r="44" spans="2:22" ht="14.25" customHeight="1" x14ac:dyDescent="0.3">
      <c r="B44" s="620" t="s">
        <v>238</v>
      </c>
      <c r="C44" s="621"/>
      <c r="D44" s="621"/>
      <c r="E44" s="621"/>
      <c r="F44" s="622"/>
      <c r="G44" s="97">
        <v>0.55000000000000004</v>
      </c>
      <c r="H44" s="28"/>
      <c r="I44" s="28"/>
      <c r="J44" s="444">
        <f>J43*G44</f>
        <v>12583.995050000001</v>
      </c>
      <c r="K44" s="21"/>
      <c r="O44" s="15"/>
      <c r="P44" s="15"/>
      <c r="R44" s="582"/>
    </row>
    <row r="45" spans="2:22" ht="6" customHeight="1" collapsed="1" thickBot="1" x14ac:dyDescent="0.35">
      <c r="B45" s="351"/>
      <c r="C45" s="333"/>
      <c r="D45" s="333"/>
      <c r="E45" s="333"/>
      <c r="F45" s="333"/>
      <c r="G45" s="333"/>
      <c r="H45" s="333"/>
      <c r="I45" s="333"/>
      <c r="J45" s="352"/>
      <c r="K45" s="5"/>
      <c r="O45" s="16"/>
      <c r="P45" s="16"/>
      <c r="R45" s="582"/>
    </row>
    <row r="46" spans="2:22" ht="14.25" customHeight="1" thickBot="1" x14ac:dyDescent="0.35">
      <c r="B46" s="652" t="s">
        <v>316</v>
      </c>
      <c r="C46" s="653"/>
      <c r="D46" s="653"/>
      <c r="E46" s="653"/>
      <c r="F46" s="653"/>
      <c r="G46" s="653"/>
      <c r="H46" s="653"/>
      <c r="I46" s="653"/>
      <c r="J46" s="561">
        <f>SUM(J43:J44)</f>
        <v>35463.986050000007</v>
      </c>
      <c r="K46" s="29"/>
      <c r="O46" s="13"/>
      <c r="P46" s="13"/>
      <c r="Q46" s="13"/>
      <c r="R46" s="582"/>
    </row>
    <row r="47" spans="2:22" ht="6.6" customHeight="1" thickBot="1" x14ac:dyDescent="0.35">
      <c r="B47" s="100"/>
      <c r="C47" s="5"/>
      <c r="D47" s="5"/>
      <c r="E47" s="5"/>
      <c r="F47" s="5"/>
      <c r="G47" s="5"/>
      <c r="H47" s="5"/>
      <c r="I47" s="5"/>
      <c r="J47" s="5"/>
      <c r="K47" s="5"/>
      <c r="O47" s="16"/>
      <c r="P47" s="16"/>
      <c r="R47" s="582"/>
    </row>
    <row r="48" spans="2:22" ht="24" customHeight="1" thickBot="1" x14ac:dyDescent="0.35">
      <c r="B48" s="644" t="s">
        <v>252</v>
      </c>
      <c r="C48" s="645"/>
      <c r="D48" s="645"/>
      <c r="E48" s="645"/>
      <c r="F48" s="645"/>
      <c r="G48" s="645"/>
      <c r="H48" s="645"/>
      <c r="I48" s="645"/>
      <c r="J48" s="646"/>
      <c r="K48" s="5"/>
      <c r="L48" s="4"/>
      <c r="T48" s="13"/>
      <c r="U48" s="13"/>
      <c r="V48" s="13"/>
    </row>
    <row r="49" spans="2:22" ht="14.25" customHeight="1" outlineLevel="1" thickBot="1" x14ac:dyDescent="0.35">
      <c r="B49" s="647" t="s">
        <v>80</v>
      </c>
      <c r="C49" s="648"/>
      <c r="D49" s="648"/>
      <c r="E49" s="648"/>
      <c r="F49" s="224" t="s">
        <v>60</v>
      </c>
      <c r="G49" s="270" t="s">
        <v>61</v>
      </c>
      <c r="H49" s="224" t="s">
        <v>81</v>
      </c>
      <c r="I49" s="270"/>
      <c r="J49" s="224" t="s">
        <v>82</v>
      </c>
      <c r="K49" s="30"/>
      <c r="L49" s="4"/>
      <c r="T49" s="13"/>
      <c r="U49" s="13"/>
      <c r="V49" s="13"/>
    </row>
    <row r="50" spans="2:22" ht="14.25" customHeight="1" outlineLevel="1" x14ac:dyDescent="0.3">
      <c r="B50" s="659" t="s">
        <v>83</v>
      </c>
      <c r="C50" s="660"/>
      <c r="D50" s="660"/>
      <c r="E50" s="661"/>
      <c r="F50" s="359">
        <v>0</v>
      </c>
      <c r="G50" s="359">
        <v>1</v>
      </c>
      <c r="H50" s="360">
        <v>0</v>
      </c>
      <c r="I50" s="360"/>
      <c r="J50" s="361">
        <f>ROUND(G50*H50*F50,2)</f>
        <v>0</v>
      </c>
      <c r="K50" s="21"/>
      <c r="L50" s="4"/>
      <c r="T50" s="13"/>
      <c r="U50" s="13"/>
      <c r="V50" s="13"/>
    </row>
    <row r="51" spans="2:22" ht="14.25" customHeight="1" outlineLevel="1" x14ac:dyDescent="0.3">
      <c r="B51" s="654" t="s">
        <v>84</v>
      </c>
      <c r="C51" s="655"/>
      <c r="D51" s="655"/>
      <c r="E51" s="656"/>
      <c r="F51" s="230">
        <v>0</v>
      </c>
      <c r="G51" s="230">
        <v>1</v>
      </c>
      <c r="H51" s="231">
        <v>0</v>
      </c>
      <c r="I51" s="231"/>
      <c r="J51" s="232">
        <f>ROUND(G51*H51*F51,2)</f>
        <v>0</v>
      </c>
      <c r="K51" s="21"/>
      <c r="L51" s="4"/>
      <c r="T51" s="13"/>
      <c r="U51" s="13"/>
      <c r="V51" s="13"/>
    </row>
    <row r="52" spans="2:22" ht="14.25" customHeight="1" outlineLevel="1" x14ac:dyDescent="0.3">
      <c r="B52" s="654" t="s">
        <v>85</v>
      </c>
      <c r="C52" s="655"/>
      <c r="D52" s="655"/>
      <c r="E52" s="656"/>
      <c r="F52" s="230">
        <v>0</v>
      </c>
      <c r="G52" s="230">
        <v>2</v>
      </c>
      <c r="H52" s="231">
        <v>250</v>
      </c>
      <c r="I52" s="231"/>
      <c r="J52" s="232">
        <f>ROUND(G52*H52*F52,2)</f>
        <v>0</v>
      </c>
      <c r="K52" s="21"/>
      <c r="L52" s="4"/>
      <c r="R52" s="13"/>
      <c r="S52" s="13"/>
      <c r="T52" s="13"/>
      <c r="U52" s="13"/>
      <c r="V52" s="13"/>
    </row>
    <row r="53" spans="2:22" ht="6" customHeight="1" thickBot="1" x14ac:dyDescent="0.35">
      <c r="B53" s="351"/>
      <c r="C53" s="333"/>
      <c r="D53" s="333"/>
      <c r="E53" s="333"/>
      <c r="F53" s="333"/>
      <c r="G53" s="333"/>
      <c r="H53" s="333"/>
      <c r="I53" s="333"/>
      <c r="J53" s="352"/>
      <c r="K53" s="5"/>
      <c r="O53" s="16"/>
      <c r="P53" s="16"/>
    </row>
    <row r="54" spans="2:22" ht="14.25" customHeight="1" thickBot="1" x14ac:dyDescent="0.35">
      <c r="B54" s="652" t="s">
        <v>316</v>
      </c>
      <c r="C54" s="653"/>
      <c r="D54" s="653"/>
      <c r="E54" s="653"/>
      <c r="F54" s="653"/>
      <c r="G54" s="653"/>
      <c r="H54" s="653"/>
      <c r="I54" s="653"/>
      <c r="J54" s="561">
        <f>SUM(J50:J52)*(I118+1)</f>
        <v>0</v>
      </c>
      <c r="K54" s="29"/>
      <c r="L54" s="4"/>
      <c r="T54" s="13"/>
      <c r="U54" s="13"/>
      <c r="V54" s="13"/>
    </row>
    <row r="55" spans="2:22" ht="6" customHeight="1" thickBot="1" x14ac:dyDescent="0.35">
      <c r="B55" s="116"/>
      <c r="C55" s="17"/>
      <c r="D55" s="17"/>
      <c r="E55" s="17"/>
      <c r="F55" s="17"/>
      <c r="G55" s="17"/>
      <c r="H55" s="17"/>
      <c r="I55" s="17"/>
      <c r="J55" s="117"/>
      <c r="K55" s="5"/>
      <c r="O55" s="16"/>
      <c r="P55" s="16"/>
    </row>
    <row r="56" spans="2:22" ht="24" customHeight="1" thickBot="1" x14ac:dyDescent="0.35">
      <c r="B56" s="644" t="s">
        <v>253</v>
      </c>
      <c r="C56" s="645"/>
      <c r="D56" s="645"/>
      <c r="E56" s="645"/>
      <c r="F56" s="645"/>
      <c r="G56" s="645"/>
      <c r="H56" s="645"/>
      <c r="I56" s="645"/>
      <c r="J56" s="646"/>
      <c r="K56" s="5"/>
      <c r="L56" s="4"/>
      <c r="T56" s="13"/>
      <c r="U56" s="13"/>
      <c r="V56" s="13"/>
    </row>
    <row r="57" spans="2:22" s="356" customFormat="1" ht="14.25" customHeight="1" outlineLevel="1" thickBot="1" x14ac:dyDescent="0.35">
      <c r="B57" s="647" t="s">
        <v>80</v>
      </c>
      <c r="C57" s="648"/>
      <c r="D57" s="648"/>
      <c r="E57" s="648"/>
      <c r="F57" s="270"/>
      <c r="G57" s="224" t="s">
        <v>159</v>
      </c>
      <c r="H57" s="270" t="s">
        <v>81</v>
      </c>
      <c r="I57" s="224"/>
      <c r="J57" s="302" t="s">
        <v>82</v>
      </c>
      <c r="K57" s="354"/>
      <c r="L57" s="355"/>
      <c r="T57" s="357"/>
      <c r="U57" s="357"/>
      <c r="V57" s="357"/>
    </row>
    <row r="58" spans="2:22" ht="14.25" customHeight="1" outlineLevel="1" x14ac:dyDescent="0.3">
      <c r="B58" s="649" t="s">
        <v>86</v>
      </c>
      <c r="C58" s="650"/>
      <c r="D58" s="650"/>
      <c r="E58" s="650"/>
      <c r="F58" s="353"/>
      <c r="G58" s="338">
        <f>$P$40</f>
        <v>75</v>
      </c>
      <c r="H58" s="211">
        <v>8</v>
      </c>
      <c r="I58" s="211"/>
      <c r="J58" s="343">
        <f>H58*G58</f>
        <v>600</v>
      </c>
      <c r="K58" s="32"/>
      <c r="L58" s="4" t="s">
        <v>87</v>
      </c>
      <c r="M58" s="15"/>
      <c r="N58" s="15"/>
      <c r="O58" s="15"/>
      <c r="P58" s="15"/>
      <c r="Q58" s="15"/>
      <c r="R58" s="15"/>
      <c r="S58" s="15"/>
      <c r="T58" s="13"/>
      <c r="U58" s="13"/>
      <c r="V58" s="13"/>
    </row>
    <row r="59" spans="2:22" ht="14.25" customHeight="1" outlineLevel="1" x14ac:dyDescent="0.3">
      <c r="B59" s="620" t="s">
        <v>88</v>
      </c>
      <c r="C59" s="621"/>
      <c r="D59" s="621"/>
      <c r="E59" s="621"/>
      <c r="F59" s="95"/>
      <c r="G59" s="338">
        <f>$P$40</f>
        <v>75</v>
      </c>
      <c r="H59" s="23">
        <v>38</v>
      </c>
      <c r="I59" s="23"/>
      <c r="J59" s="118">
        <f>G59*H59</f>
        <v>2850</v>
      </c>
      <c r="K59" s="32"/>
      <c r="L59" s="4"/>
      <c r="T59" s="13"/>
      <c r="U59" s="13"/>
      <c r="V59" s="13"/>
    </row>
    <row r="60" spans="2:22" ht="14.25" customHeight="1" outlineLevel="1" x14ac:dyDescent="0.3">
      <c r="B60" s="654" t="s">
        <v>89</v>
      </c>
      <c r="C60" s="657"/>
      <c r="D60" s="657"/>
      <c r="E60" s="657"/>
      <c r="F60" s="658"/>
      <c r="G60" s="230">
        <v>0</v>
      </c>
      <c r="H60" s="231">
        <v>50</v>
      </c>
      <c r="I60" s="231"/>
      <c r="J60" s="232">
        <f>ROUND(H60*G60,2)</f>
        <v>0</v>
      </c>
      <c r="K60" s="32"/>
      <c r="L60" s="4"/>
      <c r="T60" s="13"/>
      <c r="U60" s="13"/>
      <c r="V60" s="13"/>
    </row>
    <row r="61" spans="2:22" ht="5.25" customHeight="1" thickBot="1" x14ac:dyDescent="0.35">
      <c r="B61" s="351"/>
      <c r="C61" s="333"/>
      <c r="D61" s="333"/>
      <c r="E61" s="333"/>
      <c r="F61" s="333"/>
      <c r="G61" s="333"/>
      <c r="H61" s="333"/>
      <c r="I61" s="333"/>
      <c r="J61" s="352"/>
      <c r="K61" s="5"/>
      <c r="L61" s="4"/>
      <c r="T61" s="16"/>
      <c r="U61" s="16"/>
    </row>
    <row r="62" spans="2:22" ht="14.25" customHeight="1" thickBot="1" x14ac:dyDescent="0.35">
      <c r="B62" s="652" t="s">
        <v>316</v>
      </c>
      <c r="C62" s="653"/>
      <c r="D62" s="653"/>
      <c r="E62" s="653"/>
      <c r="F62" s="653"/>
      <c r="G62" s="653"/>
      <c r="H62" s="653"/>
      <c r="I62" s="653"/>
      <c r="J62" s="562">
        <f>SUM(J58:J60)*(I118+1)</f>
        <v>3450</v>
      </c>
      <c r="K62" s="33"/>
      <c r="L62" s="4"/>
      <c r="T62" s="13"/>
      <c r="U62" s="13"/>
      <c r="V62" s="13"/>
    </row>
    <row r="63" spans="2:22" ht="6" customHeight="1" thickBot="1" x14ac:dyDescent="0.35">
      <c r="B63" s="116"/>
      <c r="C63" s="17"/>
      <c r="D63" s="17"/>
      <c r="E63" s="17"/>
      <c r="F63" s="17"/>
      <c r="G63" s="17"/>
      <c r="H63" s="17"/>
      <c r="I63" s="17"/>
      <c r="J63" s="117"/>
      <c r="K63" s="5"/>
      <c r="O63" s="16"/>
      <c r="P63" s="16"/>
    </row>
    <row r="64" spans="2:22" ht="24" customHeight="1" thickBot="1" x14ac:dyDescent="0.35">
      <c r="B64" s="644" t="s">
        <v>254</v>
      </c>
      <c r="C64" s="645"/>
      <c r="D64" s="645"/>
      <c r="E64" s="645"/>
      <c r="F64" s="645"/>
      <c r="G64" s="645"/>
      <c r="H64" s="645"/>
      <c r="I64" s="645"/>
      <c r="J64" s="646"/>
      <c r="K64" s="5"/>
      <c r="L64" s="4"/>
      <c r="T64" s="13"/>
      <c r="U64" s="13"/>
      <c r="V64" s="13"/>
    </row>
    <row r="65" spans="2:28" s="356" customFormat="1" ht="14.25" customHeight="1" outlineLevel="1" thickBot="1" x14ac:dyDescent="0.35">
      <c r="B65" s="647" t="s">
        <v>80</v>
      </c>
      <c r="C65" s="648"/>
      <c r="D65" s="648"/>
      <c r="E65" s="648"/>
      <c r="F65" s="224" t="s">
        <v>60</v>
      </c>
      <c r="G65" s="270" t="s">
        <v>61</v>
      </c>
      <c r="H65" s="224" t="s">
        <v>90</v>
      </c>
      <c r="I65" s="270"/>
      <c r="J65" s="224" t="s">
        <v>82</v>
      </c>
      <c r="K65" s="354"/>
      <c r="L65" s="355"/>
      <c r="T65" s="357"/>
      <c r="U65" s="357"/>
      <c r="V65" s="357"/>
    </row>
    <row r="66" spans="2:28" ht="14.25" customHeight="1" outlineLevel="1" x14ac:dyDescent="0.3">
      <c r="B66" s="649" t="s">
        <v>91</v>
      </c>
      <c r="C66" s="650"/>
      <c r="D66" s="650"/>
      <c r="E66" s="651"/>
      <c r="F66" s="339">
        <v>1</v>
      </c>
      <c r="G66" s="350"/>
      <c r="H66" s="211">
        <v>467</v>
      </c>
      <c r="I66" s="341"/>
      <c r="J66" s="343">
        <f>F66*H66*G66</f>
        <v>0</v>
      </c>
      <c r="K66" s="32"/>
      <c r="L66" s="4"/>
      <c r="M66" s="12"/>
      <c r="N66" s="12"/>
      <c r="O66" s="12"/>
      <c r="P66" s="12"/>
      <c r="Q66" s="12"/>
      <c r="R66" s="12"/>
      <c r="S66" s="12"/>
      <c r="T66" s="13"/>
      <c r="U66" s="13"/>
      <c r="V66" s="13"/>
    </row>
    <row r="67" spans="2:28" ht="14.25" customHeight="1" outlineLevel="1" x14ac:dyDescent="0.3">
      <c r="B67" s="620" t="s">
        <v>92</v>
      </c>
      <c r="C67" s="621"/>
      <c r="D67" s="621"/>
      <c r="E67" s="622"/>
      <c r="F67" s="34">
        <v>0</v>
      </c>
      <c r="G67" s="35"/>
      <c r="H67" s="23">
        <v>1800</v>
      </c>
      <c r="I67" s="36"/>
      <c r="J67" s="118">
        <f>F67*H67*G67</f>
        <v>0</v>
      </c>
      <c r="K67" s="32"/>
      <c r="L67" s="4"/>
      <c r="M67" s="12"/>
      <c r="N67" s="12"/>
      <c r="O67" s="12"/>
      <c r="P67" s="12"/>
      <c r="Q67" s="12"/>
      <c r="R67" s="12"/>
      <c r="S67" s="12"/>
      <c r="T67" s="13"/>
      <c r="U67" s="13"/>
      <c r="V67" s="13"/>
    </row>
    <row r="68" spans="2:28" ht="14.25" customHeight="1" outlineLevel="1" x14ac:dyDescent="0.3">
      <c r="B68" s="620" t="s">
        <v>165</v>
      </c>
      <c r="C68" s="621"/>
      <c r="D68" s="621"/>
      <c r="E68" s="622"/>
      <c r="F68" s="34">
        <v>0</v>
      </c>
      <c r="G68" s="35"/>
      <c r="H68" s="23">
        <v>1100</v>
      </c>
      <c r="I68" s="36"/>
      <c r="J68" s="118">
        <f t="shared" ref="J68:J74" si="8">F68*H68*G68</f>
        <v>0</v>
      </c>
      <c r="K68" s="32"/>
      <c r="L68" s="4"/>
      <c r="M68" s="12"/>
      <c r="N68" s="12"/>
      <c r="O68" s="12"/>
      <c r="P68" s="12"/>
      <c r="Q68" s="12"/>
      <c r="R68" s="12"/>
      <c r="S68" s="12"/>
      <c r="T68" s="13"/>
      <c r="U68" s="13"/>
      <c r="V68" s="13"/>
    </row>
    <row r="69" spans="2:28" ht="14.25" customHeight="1" outlineLevel="1" x14ac:dyDescent="0.3">
      <c r="B69" s="620" t="s">
        <v>190</v>
      </c>
      <c r="C69" s="621"/>
      <c r="D69" s="621"/>
      <c r="E69" s="622"/>
      <c r="F69" s="34">
        <v>0</v>
      </c>
      <c r="G69" s="35"/>
      <c r="H69" s="23">
        <v>1800</v>
      </c>
      <c r="I69" s="36"/>
      <c r="J69" s="118">
        <f>F69*H69*G69</f>
        <v>0</v>
      </c>
      <c r="K69" s="32"/>
      <c r="L69" s="4"/>
      <c r="M69" s="12"/>
      <c r="N69" s="12"/>
      <c r="O69" s="12"/>
      <c r="P69" s="12"/>
      <c r="Q69" s="12"/>
      <c r="R69" s="12"/>
      <c r="S69" s="12"/>
      <c r="T69" s="13"/>
      <c r="U69" s="13"/>
      <c r="V69" s="13"/>
    </row>
    <row r="70" spans="2:28" ht="14.25" customHeight="1" outlineLevel="1" x14ac:dyDescent="0.3">
      <c r="B70" s="620" t="s">
        <v>166</v>
      </c>
      <c r="C70" s="621"/>
      <c r="D70" s="621"/>
      <c r="E70" s="622"/>
      <c r="F70" s="34">
        <v>0</v>
      </c>
      <c r="G70" s="35"/>
      <c r="H70" s="123">
        <v>950</v>
      </c>
      <c r="I70" s="36"/>
      <c r="J70" s="118">
        <f>F70*H70*G70</f>
        <v>0</v>
      </c>
      <c r="K70" s="32"/>
      <c r="L70" s="4"/>
      <c r="M70" s="12"/>
      <c r="N70" s="12"/>
      <c r="O70" s="12"/>
      <c r="P70" s="12"/>
      <c r="Q70" s="12"/>
      <c r="R70" s="12"/>
      <c r="S70" s="12"/>
      <c r="T70" s="13"/>
      <c r="U70" s="13"/>
      <c r="V70" s="13"/>
    </row>
    <row r="71" spans="2:28" ht="14.25" customHeight="1" outlineLevel="1" x14ac:dyDescent="0.3">
      <c r="B71" s="620" t="s">
        <v>167</v>
      </c>
      <c r="C71" s="621"/>
      <c r="D71" s="621"/>
      <c r="E71" s="622"/>
      <c r="F71" s="34">
        <v>0</v>
      </c>
      <c r="G71" s="35"/>
      <c r="H71" s="23">
        <v>650</v>
      </c>
      <c r="I71" s="36"/>
      <c r="J71" s="118">
        <f t="shared" si="8"/>
        <v>0</v>
      </c>
      <c r="K71" s="32"/>
      <c r="L71" s="4"/>
      <c r="M71" s="12"/>
      <c r="N71" s="12"/>
      <c r="O71" s="12"/>
      <c r="P71" s="12"/>
      <c r="Q71" s="12"/>
      <c r="R71" s="12"/>
      <c r="S71" s="12"/>
      <c r="T71" s="13"/>
      <c r="U71" s="13"/>
      <c r="V71" s="13"/>
    </row>
    <row r="72" spans="2:28" ht="14.25" customHeight="1" outlineLevel="1" x14ac:dyDescent="0.3">
      <c r="B72" s="686" t="s">
        <v>168</v>
      </c>
      <c r="C72" s="687"/>
      <c r="D72" s="687"/>
      <c r="E72" s="688"/>
      <c r="F72" s="307">
        <v>0</v>
      </c>
      <c r="G72" s="308"/>
      <c r="H72" s="309"/>
      <c r="I72" s="310"/>
      <c r="J72" s="311">
        <f t="shared" si="8"/>
        <v>0</v>
      </c>
      <c r="K72" s="32"/>
      <c r="L72" s="4"/>
      <c r="M72" s="12"/>
      <c r="N72" s="12"/>
      <c r="O72" s="12"/>
      <c r="P72" s="12"/>
      <c r="Q72" s="12"/>
      <c r="R72" s="12"/>
      <c r="S72" s="12"/>
      <c r="T72" s="13"/>
      <c r="U72" s="13"/>
      <c r="V72" s="13"/>
    </row>
    <row r="73" spans="2:28" ht="14.25" customHeight="1" outlineLevel="1" x14ac:dyDescent="0.3">
      <c r="B73" s="620" t="s">
        <v>169</v>
      </c>
      <c r="C73" s="621"/>
      <c r="D73" s="621"/>
      <c r="E73" s="622"/>
      <c r="F73" s="34">
        <v>0</v>
      </c>
      <c r="G73" s="35"/>
      <c r="H73" s="23">
        <v>1600</v>
      </c>
      <c r="I73" s="36"/>
      <c r="J73" s="118">
        <f t="shared" si="8"/>
        <v>0</v>
      </c>
      <c r="K73" s="32"/>
      <c r="L73" s="4"/>
      <c r="M73" s="12"/>
      <c r="N73" s="12"/>
      <c r="O73" s="12"/>
      <c r="P73" s="12"/>
      <c r="Q73" s="12"/>
      <c r="R73" s="12"/>
      <c r="S73" s="12"/>
      <c r="T73" s="13"/>
      <c r="U73" s="13"/>
      <c r="V73" s="13"/>
    </row>
    <row r="74" spans="2:28" ht="14.25" customHeight="1" outlineLevel="1" thickBot="1" x14ac:dyDescent="0.35">
      <c r="B74" s="662" t="s">
        <v>170</v>
      </c>
      <c r="C74" s="663"/>
      <c r="D74" s="663"/>
      <c r="E74" s="664"/>
      <c r="F74" s="348">
        <v>0</v>
      </c>
      <c r="G74" s="345"/>
      <c r="H74" s="297">
        <v>25300</v>
      </c>
      <c r="I74" s="346"/>
      <c r="J74" s="347">
        <f t="shared" si="8"/>
        <v>0</v>
      </c>
      <c r="K74" s="32"/>
      <c r="L74" s="4"/>
      <c r="M74" s="12"/>
      <c r="N74" s="12"/>
      <c r="O74" s="12"/>
      <c r="P74" s="12"/>
      <c r="Q74" s="12"/>
      <c r="R74" s="12"/>
      <c r="S74" s="12"/>
      <c r="T74" s="13"/>
      <c r="U74" s="13"/>
      <c r="V74" s="13"/>
    </row>
    <row r="75" spans="2:28" ht="14.25" customHeight="1" thickBot="1" x14ac:dyDescent="0.35">
      <c r="B75" s="652" t="s">
        <v>316</v>
      </c>
      <c r="C75" s="653"/>
      <c r="D75" s="653"/>
      <c r="E75" s="653"/>
      <c r="F75" s="653"/>
      <c r="G75" s="653"/>
      <c r="H75" s="653"/>
      <c r="I75" s="653"/>
      <c r="J75" s="562">
        <f>SUM(J66:J74)*(I118+1)</f>
        <v>0</v>
      </c>
      <c r="K75" s="33"/>
      <c r="L75" s="4"/>
      <c r="T75" s="13"/>
      <c r="U75" s="13"/>
      <c r="V75" s="13"/>
    </row>
    <row r="76" spans="2:28" ht="6" customHeight="1" thickBot="1" x14ac:dyDescent="0.35">
      <c r="B76" s="100"/>
      <c r="C76" s="5"/>
      <c r="D76" s="5"/>
      <c r="E76" s="5"/>
      <c r="F76" s="5"/>
      <c r="G76" s="5"/>
      <c r="H76" s="5"/>
      <c r="I76" s="5"/>
      <c r="J76" s="5"/>
      <c r="K76" s="5"/>
      <c r="L76" s="4"/>
      <c r="T76" s="16"/>
      <c r="U76" s="16"/>
    </row>
    <row r="77" spans="2:28" ht="24" customHeight="1" thickBot="1" x14ac:dyDescent="0.35">
      <c r="B77" s="644" t="s">
        <v>255</v>
      </c>
      <c r="C77" s="645"/>
      <c r="D77" s="645"/>
      <c r="E77" s="645"/>
      <c r="F77" s="645"/>
      <c r="G77" s="645"/>
      <c r="H77" s="645"/>
      <c r="I77" s="645"/>
      <c r="J77" s="646"/>
      <c r="K77" s="5"/>
      <c r="L77" s="4"/>
      <c r="M77" s="15"/>
      <c r="N77" s="15"/>
      <c r="O77" s="15"/>
      <c r="P77" s="15"/>
      <c r="Q77" s="15"/>
      <c r="R77" s="15"/>
      <c r="S77" s="15"/>
      <c r="T77" s="13"/>
      <c r="U77" s="13"/>
      <c r="V77" s="13"/>
    </row>
    <row r="78" spans="2:28" s="356" customFormat="1" ht="14.25" customHeight="1" outlineLevel="1" thickBot="1" x14ac:dyDescent="0.35">
      <c r="B78" s="647" t="s">
        <v>80</v>
      </c>
      <c r="C78" s="648"/>
      <c r="D78" s="648"/>
      <c r="E78" s="648"/>
      <c r="F78" s="224" t="s">
        <v>93</v>
      </c>
      <c r="G78" s="270" t="s">
        <v>60</v>
      </c>
      <c r="H78" s="224" t="s">
        <v>81</v>
      </c>
      <c r="I78" s="270"/>
      <c r="J78" s="224" t="s">
        <v>82</v>
      </c>
      <c r="K78" s="354"/>
      <c r="L78" s="355"/>
      <c r="T78" s="357"/>
      <c r="U78" s="357"/>
      <c r="V78" s="357"/>
      <c r="X78" s="358"/>
      <c r="Y78" s="358"/>
      <c r="Z78" s="358"/>
      <c r="AA78" s="358"/>
      <c r="AB78" s="358"/>
    </row>
    <row r="79" spans="2:28" ht="14.25" customHeight="1" outlineLevel="1" x14ac:dyDescent="0.3">
      <c r="B79" s="649" t="s">
        <v>171</v>
      </c>
      <c r="C79" s="650"/>
      <c r="D79" s="650"/>
      <c r="E79" s="651"/>
      <c r="F79" s="337" t="s">
        <v>94</v>
      </c>
      <c r="G79" s="338">
        <f>$F$9</f>
        <v>25</v>
      </c>
      <c r="H79" s="211">
        <v>23</v>
      </c>
      <c r="I79" s="211"/>
      <c r="J79" s="218">
        <f>ROUND(G79*H79,2)</f>
        <v>575</v>
      </c>
      <c r="K79" s="21"/>
      <c r="L79" s="4"/>
      <c r="T79" s="13"/>
      <c r="U79" s="13"/>
      <c r="V79" s="13"/>
      <c r="X79" s="38"/>
      <c r="Y79" s="38"/>
      <c r="Z79" s="39"/>
      <c r="AA79" s="39"/>
      <c r="AB79" s="39"/>
    </row>
    <row r="80" spans="2:28" ht="14.25" customHeight="1" outlineLevel="1" x14ac:dyDescent="0.3">
      <c r="B80" s="620" t="s">
        <v>172</v>
      </c>
      <c r="C80" s="621"/>
      <c r="D80" s="621"/>
      <c r="E80" s="622"/>
      <c r="F80" s="37" t="s">
        <v>94</v>
      </c>
      <c r="G80" s="338">
        <f>$H$9</f>
        <v>25</v>
      </c>
      <c r="H80" s="23">
        <v>5</v>
      </c>
      <c r="I80" s="23"/>
      <c r="J80" s="112">
        <f>ROUND(G80*H80,2)</f>
        <v>125</v>
      </c>
      <c r="K80" s="21"/>
      <c r="L80" s="4"/>
      <c r="T80" s="13"/>
      <c r="U80" s="13"/>
      <c r="V80" s="13"/>
      <c r="X80" s="38"/>
      <c r="Y80" s="38"/>
      <c r="Z80" s="39"/>
      <c r="AA80" s="39"/>
      <c r="AB80" s="39"/>
    </row>
    <row r="81" spans="2:28" ht="14.25" customHeight="1" outlineLevel="1" x14ac:dyDescent="0.3">
      <c r="B81" s="620" t="s">
        <v>174</v>
      </c>
      <c r="C81" s="621"/>
      <c r="D81" s="621"/>
      <c r="E81" s="622"/>
      <c r="F81" s="37" t="s">
        <v>94</v>
      </c>
      <c r="G81" s="338">
        <f>$F$9</f>
        <v>25</v>
      </c>
      <c r="H81" s="23">
        <v>15</v>
      </c>
      <c r="I81" s="23"/>
      <c r="J81" s="112">
        <f>ROUND(G81*H81,2)</f>
        <v>375</v>
      </c>
      <c r="K81" s="21"/>
      <c r="L81" s="4"/>
      <c r="T81" s="13"/>
      <c r="U81" s="13"/>
      <c r="V81" s="13"/>
      <c r="X81" s="38"/>
      <c r="Y81" s="38"/>
      <c r="Z81" s="39"/>
      <c r="AA81" s="39"/>
      <c r="AB81" s="39"/>
    </row>
    <row r="82" spans="2:28" ht="14.25" customHeight="1" outlineLevel="1" x14ac:dyDescent="0.3">
      <c r="B82" s="620" t="s">
        <v>173</v>
      </c>
      <c r="C82" s="621"/>
      <c r="D82" s="621"/>
      <c r="E82" s="622"/>
      <c r="F82" s="37" t="s">
        <v>94</v>
      </c>
      <c r="G82" s="338">
        <f>$F$9</f>
        <v>25</v>
      </c>
      <c r="H82" s="23">
        <v>25</v>
      </c>
      <c r="I82" s="23"/>
      <c r="J82" s="112">
        <f>ROUND(G82*H82,2)</f>
        <v>625</v>
      </c>
      <c r="K82" s="21"/>
      <c r="L82" s="4"/>
      <c r="T82" s="13"/>
      <c r="U82" s="13"/>
      <c r="V82" s="13"/>
      <c r="X82" s="38"/>
      <c r="Y82" s="38"/>
      <c r="Z82" s="39"/>
      <c r="AA82" s="39"/>
      <c r="AB82" s="39"/>
    </row>
    <row r="83" spans="2:28" ht="14.25" customHeight="1" outlineLevel="1" thickBot="1" x14ac:dyDescent="0.35">
      <c r="B83" s="662" t="s">
        <v>118</v>
      </c>
      <c r="C83" s="663"/>
      <c r="D83" s="663"/>
      <c r="E83" s="664"/>
      <c r="F83" s="349" t="s">
        <v>94</v>
      </c>
      <c r="G83" s="338">
        <f>$F$9</f>
        <v>25</v>
      </c>
      <c r="H83" s="297">
        <v>10</v>
      </c>
      <c r="I83" s="297"/>
      <c r="J83" s="298">
        <f>ROUND(G83*H83,2)</f>
        <v>250</v>
      </c>
      <c r="K83" s="21"/>
      <c r="L83" s="4"/>
      <c r="T83" s="13"/>
      <c r="U83" s="13"/>
      <c r="V83" s="13"/>
      <c r="X83" s="38"/>
      <c r="Y83" s="38"/>
      <c r="Z83" s="39"/>
      <c r="AA83" s="39"/>
      <c r="AB83" s="39"/>
    </row>
    <row r="84" spans="2:28" ht="14.25" customHeight="1" thickBot="1" x14ac:dyDescent="0.35">
      <c r="B84" s="652" t="s">
        <v>316</v>
      </c>
      <c r="C84" s="653"/>
      <c r="D84" s="653"/>
      <c r="E84" s="653"/>
      <c r="F84" s="653"/>
      <c r="G84" s="653"/>
      <c r="H84" s="653"/>
      <c r="I84" s="653"/>
      <c r="J84" s="562">
        <f>SUM(J79:J83)</f>
        <v>1950</v>
      </c>
      <c r="K84" s="33"/>
      <c r="L84" s="40"/>
      <c r="M84" s="41"/>
      <c r="N84" s="41"/>
      <c r="O84" s="41"/>
      <c r="P84" s="41"/>
      <c r="Q84" s="41"/>
      <c r="R84" s="41"/>
      <c r="S84" s="41"/>
      <c r="T84" s="13"/>
      <c r="U84" s="13"/>
      <c r="V84" s="13"/>
      <c r="W84" s="42"/>
    </row>
    <row r="85" spans="2:28" ht="6" customHeight="1" thickBot="1" x14ac:dyDescent="0.35">
      <c r="B85" s="100"/>
      <c r="C85" s="5"/>
      <c r="D85" s="5"/>
      <c r="E85" s="5"/>
      <c r="F85" s="5"/>
      <c r="G85" s="5"/>
      <c r="H85" s="5"/>
      <c r="I85" s="5"/>
      <c r="J85" s="5"/>
      <c r="K85" s="5"/>
      <c r="L85" s="4"/>
      <c r="T85" s="16"/>
      <c r="U85" s="16"/>
    </row>
    <row r="86" spans="2:28" ht="24" customHeight="1" thickBot="1" x14ac:dyDescent="0.35">
      <c r="B86" s="644" t="s">
        <v>256</v>
      </c>
      <c r="C86" s="645"/>
      <c r="D86" s="645"/>
      <c r="E86" s="645"/>
      <c r="F86" s="645"/>
      <c r="G86" s="645"/>
      <c r="H86" s="645"/>
      <c r="I86" s="645"/>
      <c r="J86" s="646"/>
      <c r="K86" s="5"/>
      <c r="L86" s="4"/>
      <c r="T86" s="13"/>
      <c r="U86" s="13"/>
      <c r="V86" s="13"/>
    </row>
    <row r="87" spans="2:28" s="356" customFormat="1" ht="14.25" customHeight="1" outlineLevel="1" thickBot="1" x14ac:dyDescent="0.35">
      <c r="B87" s="647" t="s">
        <v>95</v>
      </c>
      <c r="C87" s="693"/>
      <c r="D87" s="693"/>
      <c r="E87" s="693"/>
      <c r="F87" s="224" t="s">
        <v>218</v>
      </c>
      <c r="G87" s="224" t="s">
        <v>60</v>
      </c>
      <c r="H87" s="270" t="s">
        <v>175</v>
      </c>
      <c r="I87" s="224" t="s">
        <v>234</v>
      </c>
      <c r="J87" s="302" t="s">
        <v>82</v>
      </c>
      <c r="K87" s="354"/>
      <c r="L87" s="355"/>
      <c r="T87" s="357"/>
      <c r="U87" s="357"/>
      <c r="V87" s="357"/>
    </row>
    <row r="88" spans="2:28" ht="14.25" customHeight="1" outlineLevel="1" x14ac:dyDescent="0.3">
      <c r="B88" s="649" t="s">
        <v>229</v>
      </c>
      <c r="C88" s="684"/>
      <c r="D88" s="684"/>
      <c r="E88" s="685"/>
      <c r="F88" s="339" t="s">
        <v>231</v>
      </c>
      <c r="G88" s="340">
        <f>$H$9</f>
        <v>25</v>
      </c>
      <c r="H88" s="341">
        <v>3</v>
      </c>
      <c r="I88" s="342">
        <v>0</v>
      </c>
      <c r="J88" s="343">
        <f>G88*H88*I88</f>
        <v>0</v>
      </c>
      <c r="K88" s="32"/>
      <c r="L88" s="4"/>
      <c r="M88" s="15"/>
      <c r="N88" s="15"/>
      <c r="O88" s="15"/>
      <c r="P88" s="15"/>
      <c r="Q88" s="15"/>
      <c r="R88" s="15"/>
      <c r="S88" s="15"/>
      <c r="T88" s="13"/>
      <c r="U88" s="13"/>
      <c r="V88" s="13"/>
    </row>
    <row r="89" spans="2:28" ht="14.25" customHeight="1" outlineLevel="1" x14ac:dyDescent="0.3">
      <c r="B89" s="189" t="s">
        <v>230</v>
      </c>
      <c r="C89" s="190"/>
      <c r="D89" s="190"/>
      <c r="E89" s="191"/>
      <c r="F89" s="187" t="s">
        <v>232</v>
      </c>
      <c r="G89" s="192">
        <v>18</v>
      </c>
      <c r="H89" s="188">
        <v>12.75</v>
      </c>
      <c r="I89" s="193"/>
      <c r="J89" s="186">
        <f>G89*H89</f>
        <v>229.5</v>
      </c>
      <c r="K89" s="32"/>
      <c r="L89" s="4"/>
      <c r="M89" s="15"/>
      <c r="N89" s="15"/>
      <c r="O89" s="15"/>
      <c r="P89" s="15"/>
      <c r="Q89" s="15"/>
      <c r="R89" s="15"/>
      <c r="S89" s="15"/>
      <c r="T89" s="13"/>
      <c r="U89" s="13"/>
      <c r="V89" s="13"/>
    </row>
    <row r="90" spans="2:28" ht="14.25" customHeight="1" outlineLevel="1" x14ac:dyDescent="0.3">
      <c r="B90" s="620" t="s">
        <v>233</v>
      </c>
      <c r="C90" s="691"/>
      <c r="D90" s="691"/>
      <c r="E90" s="692"/>
      <c r="F90" s="34" t="s">
        <v>231</v>
      </c>
      <c r="G90" s="43">
        <v>200</v>
      </c>
      <c r="H90" s="560">
        <v>1.25</v>
      </c>
      <c r="I90" s="610">
        <v>9</v>
      </c>
      <c r="J90" s="118">
        <f>G90*H90*I90</f>
        <v>2250</v>
      </c>
      <c r="K90" s="32"/>
      <c r="L90" s="4"/>
      <c r="M90" s="15"/>
      <c r="N90" s="15"/>
      <c r="O90" s="15"/>
      <c r="P90" s="15"/>
      <c r="Q90" s="15"/>
      <c r="R90" s="15"/>
      <c r="S90" s="15"/>
      <c r="T90" s="13"/>
      <c r="U90" s="13"/>
      <c r="V90" s="13"/>
    </row>
    <row r="91" spans="2:28" ht="14.25" customHeight="1" outlineLevel="1" x14ac:dyDescent="0.3">
      <c r="B91" s="620" t="s">
        <v>233</v>
      </c>
      <c r="C91" s="691"/>
      <c r="D91" s="691"/>
      <c r="E91" s="692"/>
      <c r="F91" s="34" t="s">
        <v>231</v>
      </c>
      <c r="G91" s="43">
        <f>$H$9</f>
        <v>25</v>
      </c>
      <c r="H91" s="560">
        <v>1.25</v>
      </c>
      <c r="I91" s="610">
        <v>0</v>
      </c>
      <c r="J91" s="118">
        <f>G91*H91*I91</f>
        <v>0</v>
      </c>
      <c r="K91" s="32"/>
      <c r="L91" s="4"/>
      <c r="M91" s="15"/>
      <c r="N91" s="15"/>
      <c r="O91" s="15"/>
      <c r="P91" s="15"/>
      <c r="Q91" s="15"/>
      <c r="R91" s="15"/>
      <c r="S91" s="15"/>
      <c r="T91" s="13"/>
      <c r="U91" s="13"/>
      <c r="V91" s="13"/>
    </row>
    <row r="92" spans="2:28" ht="14.25" customHeight="1" outlineLevel="1" thickBot="1" x14ac:dyDescent="0.35">
      <c r="B92" s="662" t="s">
        <v>344</v>
      </c>
      <c r="C92" s="663"/>
      <c r="D92" s="663"/>
      <c r="E92" s="664"/>
      <c r="F92" s="344" t="s">
        <v>94</v>
      </c>
      <c r="G92" s="345">
        <v>6</v>
      </c>
      <c r="H92" s="346">
        <v>600</v>
      </c>
      <c r="I92" s="346"/>
      <c r="J92" s="347">
        <f>H92*G92</f>
        <v>3600</v>
      </c>
      <c r="K92" s="32"/>
      <c r="L92" s="4"/>
      <c r="M92" s="15"/>
      <c r="N92" s="15"/>
      <c r="O92" s="15"/>
      <c r="P92" s="15"/>
      <c r="Q92" s="15"/>
      <c r="R92" s="15"/>
      <c r="S92" s="15"/>
      <c r="T92" s="13"/>
      <c r="U92" s="13"/>
      <c r="V92" s="13"/>
    </row>
    <row r="93" spans="2:28" ht="14.25" customHeight="1" thickBot="1" x14ac:dyDescent="0.35">
      <c r="B93" s="652" t="s">
        <v>316</v>
      </c>
      <c r="C93" s="653"/>
      <c r="D93" s="653"/>
      <c r="E93" s="653"/>
      <c r="F93" s="653"/>
      <c r="G93" s="653"/>
      <c r="H93" s="653"/>
      <c r="I93" s="653"/>
      <c r="J93" s="562">
        <f>SUM(J88:J92)*(I118+1)</f>
        <v>6079.5</v>
      </c>
      <c r="K93" s="33"/>
      <c r="L93" s="4"/>
      <c r="T93" s="13"/>
      <c r="U93" s="13"/>
      <c r="V93" s="13"/>
    </row>
    <row r="94" spans="2:28" ht="7.5" customHeight="1" thickBot="1" x14ac:dyDescent="0.35">
      <c r="B94" s="100"/>
      <c r="C94" s="5"/>
      <c r="D94" s="5"/>
      <c r="E94" s="5"/>
      <c r="F94" s="5"/>
      <c r="G94" s="5"/>
      <c r="H94" s="5"/>
      <c r="I94" s="5"/>
      <c r="J94" s="5"/>
      <c r="K94" s="5"/>
      <c r="L94" s="4"/>
      <c r="T94" s="16"/>
      <c r="U94" s="16"/>
    </row>
    <row r="95" spans="2:28" ht="24" customHeight="1" thickBot="1" x14ac:dyDescent="0.35">
      <c r="B95" s="644" t="s">
        <v>257</v>
      </c>
      <c r="C95" s="689"/>
      <c r="D95" s="689"/>
      <c r="E95" s="689"/>
      <c r="F95" s="689"/>
      <c r="G95" s="689"/>
      <c r="H95" s="689"/>
      <c r="I95" s="689"/>
      <c r="J95" s="690"/>
      <c r="K95" s="19"/>
      <c r="L95" s="4"/>
      <c r="T95" s="13"/>
      <c r="U95" s="13"/>
      <c r="V95" s="13"/>
    </row>
    <row r="96" spans="2:28" s="356" customFormat="1" ht="15" customHeight="1" outlineLevel="1" thickBot="1" x14ac:dyDescent="0.35">
      <c r="B96" s="647" t="s">
        <v>97</v>
      </c>
      <c r="C96" s="693"/>
      <c r="D96" s="693"/>
      <c r="E96" s="693"/>
      <c r="F96" s="224" t="s">
        <v>98</v>
      </c>
      <c r="G96" s="270" t="s">
        <v>60</v>
      </c>
      <c r="H96" s="224" t="s">
        <v>96</v>
      </c>
      <c r="I96" s="270"/>
      <c r="J96" s="224" t="s">
        <v>82</v>
      </c>
      <c r="K96" s="354"/>
      <c r="L96" s="355"/>
      <c r="T96" s="357"/>
      <c r="U96" s="357"/>
      <c r="V96" s="357"/>
    </row>
    <row r="97" spans="2:23" ht="14.25" customHeight="1" outlineLevel="1" x14ac:dyDescent="0.3">
      <c r="B97" s="717" t="s">
        <v>99</v>
      </c>
      <c r="C97" s="718"/>
      <c r="D97" s="718"/>
      <c r="E97" s="719"/>
      <c r="F97" s="336" t="s">
        <v>164</v>
      </c>
      <c r="G97" s="223"/>
      <c r="H97" s="446">
        <v>1E-3</v>
      </c>
      <c r="I97" s="211"/>
      <c r="J97" s="449">
        <f>IF(F97="Sim",H97,)</f>
        <v>0</v>
      </c>
      <c r="K97" s="21"/>
      <c r="L97" s="4"/>
      <c r="T97" s="13"/>
      <c r="U97" s="13"/>
      <c r="V97" s="13"/>
    </row>
    <row r="98" spans="2:23" ht="14.25" customHeight="1" outlineLevel="1" x14ac:dyDescent="0.3">
      <c r="B98" s="676" t="s">
        <v>100</v>
      </c>
      <c r="C98" s="677"/>
      <c r="D98" s="677"/>
      <c r="E98" s="678"/>
      <c r="F98" s="31">
        <f>F40</f>
        <v>3</v>
      </c>
      <c r="G98" s="20">
        <f>F9</f>
        <v>25</v>
      </c>
      <c r="H98" s="447">
        <v>1</v>
      </c>
      <c r="I98" s="23"/>
      <c r="J98" s="444">
        <f>H98*G98*F98</f>
        <v>75</v>
      </c>
      <c r="K98" s="21"/>
      <c r="L98" s="4"/>
      <c r="T98" s="13"/>
      <c r="U98" s="13"/>
      <c r="V98" s="13"/>
    </row>
    <row r="99" spans="2:23" ht="14.25" customHeight="1" outlineLevel="1" x14ac:dyDescent="0.3">
      <c r="B99" s="676" t="s">
        <v>101</v>
      </c>
      <c r="C99" s="677"/>
      <c r="D99" s="677"/>
      <c r="E99" s="678"/>
      <c r="F99" s="94" t="s">
        <v>343</v>
      </c>
      <c r="G99" s="31">
        <v>1</v>
      </c>
      <c r="H99" s="447">
        <v>2500</v>
      </c>
      <c r="I99" s="23"/>
      <c r="J99" s="444">
        <f>IF(F99="Sim",H99,)</f>
        <v>2500</v>
      </c>
      <c r="K99" s="21"/>
      <c r="L99" s="4"/>
      <c r="M99" s="15"/>
      <c r="N99" s="15"/>
      <c r="O99" s="15"/>
      <c r="P99" s="15"/>
      <c r="Q99" s="15"/>
      <c r="R99" s="15"/>
      <c r="S99" s="15"/>
      <c r="T99" s="13"/>
      <c r="U99" s="13"/>
      <c r="V99" s="13"/>
    </row>
    <row r="100" spans="2:23" ht="14.25" customHeight="1" outlineLevel="1" x14ac:dyDescent="0.3">
      <c r="B100" s="676" t="s">
        <v>102</v>
      </c>
      <c r="C100" s="677"/>
      <c r="D100" s="677"/>
      <c r="E100" s="678"/>
      <c r="F100" s="31">
        <v>0</v>
      </c>
      <c r="G100" s="31"/>
      <c r="H100" s="447">
        <v>1500</v>
      </c>
      <c r="I100" s="23"/>
      <c r="J100" s="444">
        <f>H100*G100*F100</f>
        <v>0</v>
      </c>
      <c r="K100" s="21"/>
      <c r="L100" s="4"/>
      <c r="M100" s="15"/>
      <c r="N100" s="15"/>
      <c r="O100" s="15"/>
      <c r="P100" s="15"/>
      <c r="Q100" s="15"/>
      <c r="R100" s="15"/>
      <c r="S100" s="15"/>
      <c r="T100" s="13"/>
      <c r="U100" s="13"/>
      <c r="V100" s="13"/>
    </row>
    <row r="101" spans="2:23" ht="14.25" customHeight="1" outlineLevel="1" x14ac:dyDescent="0.3">
      <c r="B101" s="676" t="s">
        <v>103</v>
      </c>
      <c r="C101" s="677"/>
      <c r="D101" s="677"/>
      <c r="E101" s="678"/>
      <c r="F101" s="31">
        <v>0</v>
      </c>
      <c r="G101" s="31"/>
      <c r="H101" s="447">
        <v>1275</v>
      </c>
      <c r="I101" s="23"/>
      <c r="J101" s="444">
        <f>H101*G101*F101</f>
        <v>0</v>
      </c>
      <c r="K101" s="21"/>
      <c r="L101" s="4"/>
      <c r="M101" s="15"/>
      <c r="N101" s="105"/>
      <c r="O101" s="73"/>
      <c r="P101" s="15"/>
      <c r="Q101" s="15"/>
      <c r="R101" s="105"/>
      <c r="S101" s="73"/>
      <c r="T101" s="13"/>
      <c r="U101" s="13"/>
      <c r="V101" s="13"/>
    </row>
    <row r="102" spans="2:23" ht="14.25" customHeight="1" outlineLevel="1" x14ac:dyDescent="0.3">
      <c r="B102" s="676" t="s">
        <v>176</v>
      </c>
      <c r="C102" s="677"/>
      <c r="D102" s="677"/>
      <c r="E102" s="678"/>
      <c r="F102" s="94" t="s">
        <v>164</v>
      </c>
      <c r="G102" s="31"/>
      <c r="H102" s="447">
        <v>1275</v>
      </c>
      <c r="I102" s="23"/>
      <c r="J102" s="444">
        <f>IF(F102="Sim",H102,)</f>
        <v>0</v>
      </c>
      <c r="K102" s="21"/>
      <c r="L102" s="4"/>
      <c r="M102" s="15"/>
      <c r="N102" s="105"/>
      <c r="O102" s="106"/>
      <c r="P102" s="15"/>
      <c r="Q102" s="15"/>
      <c r="R102" s="105"/>
      <c r="S102" s="106"/>
      <c r="T102" s="13"/>
      <c r="U102" s="13"/>
      <c r="V102" s="13"/>
    </row>
    <row r="103" spans="2:23" ht="14.25" customHeight="1" outlineLevel="1" x14ac:dyDescent="0.3">
      <c r="B103" s="676" t="s">
        <v>177</v>
      </c>
      <c r="C103" s="677"/>
      <c r="D103" s="677"/>
      <c r="E103" s="678"/>
      <c r="F103" s="94" t="s">
        <v>164</v>
      </c>
      <c r="G103" s="31"/>
      <c r="H103" s="447">
        <v>1275</v>
      </c>
      <c r="I103" s="23"/>
      <c r="J103" s="444">
        <f>IF(F103="Sim",H103,)</f>
        <v>0</v>
      </c>
      <c r="K103" s="21"/>
      <c r="L103" s="4"/>
      <c r="M103" s="15"/>
      <c r="N103" s="105"/>
      <c r="O103" s="106"/>
      <c r="P103" s="15"/>
      <c r="Q103" s="15"/>
      <c r="R103" s="105"/>
      <c r="S103" s="106"/>
      <c r="T103" s="13"/>
      <c r="U103" s="13"/>
      <c r="V103" s="13"/>
    </row>
    <row r="104" spans="2:23" ht="14.25" customHeight="1" outlineLevel="1" x14ac:dyDescent="0.3">
      <c r="B104" s="676" t="s">
        <v>178</v>
      </c>
      <c r="C104" s="677"/>
      <c r="D104" s="677"/>
      <c r="E104" s="678"/>
      <c r="F104" s="94" t="s">
        <v>164</v>
      </c>
      <c r="G104" s="31"/>
      <c r="H104" s="447">
        <v>6000</v>
      </c>
      <c r="I104" s="23"/>
      <c r="J104" s="444">
        <f>IF(F104="Sim",H104,)</f>
        <v>0</v>
      </c>
      <c r="K104" s="21"/>
      <c r="L104" s="4"/>
      <c r="M104" s="15"/>
      <c r="N104" s="105"/>
      <c r="O104" s="73"/>
      <c r="P104" s="15"/>
      <c r="Q104" s="15"/>
      <c r="R104" s="105"/>
      <c r="S104" s="73"/>
      <c r="T104" s="13"/>
      <c r="U104" s="13"/>
      <c r="V104" s="13"/>
    </row>
    <row r="105" spans="2:23" ht="14.25" customHeight="1" outlineLevel="1" thickBot="1" x14ac:dyDescent="0.35">
      <c r="B105" s="679" t="s">
        <v>104</v>
      </c>
      <c r="C105" s="680"/>
      <c r="D105" s="680"/>
      <c r="E105" s="681"/>
      <c r="F105" s="334" t="s">
        <v>164</v>
      </c>
      <c r="G105" s="335"/>
      <c r="H105" s="448">
        <v>1275</v>
      </c>
      <c r="I105" s="297"/>
      <c r="J105" s="450">
        <f>IF(F105="Sim",H105,)</f>
        <v>0</v>
      </c>
      <c r="K105" s="21"/>
      <c r="L105" s="4"/>
      <c r="M105" s="15"/>
      <c r="N105" s="73"/>
      <c r="O105" s="107"/>
      <c r="P105" s="15"/>
      <c r="Q105" s="15"/>
      <c r="R105" s="73"/>
      <c r="S105" s="107"/>
      <c r="T105" s="13"/>
      <c r="U105" s="13"/>
      <c r="V105" s="13"/>
    </row>
    <row r="106" spans="2:23" ht="14.25" customHeight="1" thickBot="1" x14ac:dyDescent="0.35">
      <c r="B106" s="652" t="s">
        <v>316</v>
      </c>
      <c r="C106" s="653"/>
      <c r="D106" s="653"/>
      <c r="E106" s="653"/>
      <c r="F106" s="653"/>
      <c r="G106" s="653"/>
      <c r="H106" s="653"/>
      <c r="I106" s="653"/>
      <c r="J106" s="562">
        <f>SUM(J97:J105)</f>
        <v>2575</v>
      </c>
      <c r="K106" s="33"/>
      <c r="L106" s="4"/>
      <c r="T106" s="13"/>
      <c r="U106" s="13"/>
      <c r="V106" s="13"/>
    </row>
    <row r="107" spans="2:23" ht="6" customHeight="1" thickBot="1" x14ac:dyDescent="0.35">
      <c r="B107" s="116"/>
      <c r="C107" s="17"/>
      <c r="D107" s="17"/>
      <c r="E107" s="17"/>
      <c r="F107" s="17"/>
      <c r="G107" s="17"/>
      <c r="H107" s="17"/>
      <c r="I107" s="17"/>
      <c r="J107" s="117"/>
      <c r="K107" s="5"/>
      <c r="O107" s="16"/>
      <c r="P107" s="16"/>
    </row>
    <row r="108" spans="2:23" ht="24" customHeight="1" thickBot="1" x14ac:dyDescent="0.35">
      <c r="B108" s="668" t="s">
        <v>258</v>
      </c>
      <c r="C108" s="669"/>
      <c r="D108" s="669"/>
      <c r="E108" s="669"/>
      <c r="F108" s="669"/>
      <c r="G108" s="669"/>
      <c r="H108" s="669"/>
      <c r="I108" s="669"/>
      <c r="J108" s="670"/>
      <c r="K108" s="5"/>
      <c r="L108" s="4"/>
      <c r="T108" s="13"/>
      <c r="U108" s="13"/>
      <c r="V108" s="13"/>
      <c r="W108" s="13"/>
    </row>
    <row r="109" spans="2:23" ht="25.5" customHeight="1" outlineLevel="1" thickBot="1" x14ac:dyDescent="0.35">
      <c r="B109" s="694" t="s">
        <v>80</v>
      </c>
      <c r="C109" s="695"/>
      <c r="D109" s="695"/>
      <c r="E109" s="695"/>
      <c r="F109" s="695"/>
      <c r="G109" s="331" t="s">
        <v>106</v>
      </c>
      <c r="H109" s="616" t="s">
        <v>297</v>
      </c>
      <c r="I109" s="617"/>
      <c r="J109" s="332" t="s">
        <v>108</v>
      </c>
      <c r="K109" s="30"/>
      <c r="L109" s="4"/>
      <c r="T109" s="13"/>
      <c r="U109" s="13"/>
      <c r="V109" s="13"/>
    </row>
    <row r="110" spans="2:23" ht="12.75" customHeight="1" outlineLevel="1" thickBot="1" x14ac:dyDescent="0.35">
      <c r="B110" s="682" t="s">
        <v>109</v>
      </c>
      <c r="C110" s="648"/>
      <c r="D110" s="648"/>
      <c r="E110" s="648"/>
      <c r="F110" s="683"/>
      <c r="G110" s="371">
        <v>0.03</v>
      </c>
      <c r="H110" s="618">
        <f>J46+J54+J62+J75+J84+J93+J106</f>
        <v>49518.486050000007</v>
      </c>
      <c r="I110" s="619"/>
      <c r="J110" s="563">
        <f>ROUND(H110*G110,2)</f>
        <v>1485.55</v>
      </c>
      <c r="K110" s="21"/>
      <c r="L110" s="370"/>
      <c r="T110" s="13"/>
      <c r="U110" s="13"/>
      <c r="V110" s="13"/>
    </row>
    <row r="111" spans="2:23" ht="14.25" customHeight="1" thickBot="1" x14ac:dyDescent="0.35">
      <c r="B111" s="652" t="s">
        <v>316</v>
      </c>
      <c r="C111" s="653"/>
      <c r="D111" s="653"/>
      <c r="E111" s="653"/>
      <c r="F111" s="653"/>
      <c r="G111" s="653"/>
      <c r="H111" s="653"/>
      <c r="I111" s="653"/>
      <c r="J111" s="564">
        <f>J110</f>
        <v>1485.55</v>
      </c>
      <c r="K111" s="33"/>
      <c r="L111" s="4"/>
      <c r="T111" s="13"/>
      <c r="U111" s="13"/>
      <c r="V111" s="13"/>
    </row>
    <row r="112" spans="2:23" ht="6" customHeight="1" thickBot="1" x14ac:dyDescent="0.35">
      <c r="B112" s="116"/>
      <c r="C112" s="17"/>
      <c r="D112" s="17"/>
      <c r="E112" s="17"/>
      <c r="F112" s="17"/>
      <c r="G112" s="17"/>
      <c r="H112" s="17"/>
      <c r="I112" s="17"/>
      <c r="J112" s="117"/>
      <c r="K112" s="5"/>
      <c r="O112" s="16"/>
      <c r="P112" s="16"/>
    </row>
    <row r="113" spans="1:33" ht="27.75" customHeight="1" thickBot="1" x14ac:dyDescent="0.35">
      <c r="B113" s="644" t="s">
        <v>259</v>
      </c>
      <c r="C113" s="645"/>
      <c r="D113" s="645"/>
      <c r="E113" s="645"/>
      <c r="F113" s="645"/>
      <c r="G113" s="645"/>
      <c r="H113" s="645"/>
      <c r="I113" s="645"/>
      <c r="J113" s="646"/>
      <c r="K113" s="5"/>
      <c r="L113" s="170"/>
      <c r="M113" s="102"/>
      <c r="T113" s="13"/>
      <c r="U113" s="13"/>
      <c r="V113" s="13"/>
    </row>
    <row r="114" spans="1:33" ht="27.6" customHeight="1" thickBot="1" x14ac:dyDescent="0.35">
      <c r="B114" s="671" t="s">
        <v>199</v>
      </c>
      <c r="C114" s="672"/>
      <c r="D114" s="673" t="s">
        <v>200</v>
      </c>
      <c r="E114" s="674"/>
      <c r="F114" s="674"/>
      <c r="G114" s="674"/>
      <c r="H114" s="675"/>
      <c r="I114" s="98" t="s">
        <v>298</v>
      </c>
      <c r="J114" s="99" t="s">
        <v>201</v>
      </c>
      <c r="K114" s="5"/>
      <c r="L114" s="369" t="s">
        <v>250</v>
      </c>
      <c r="T114" s="13"/>
      <c r="U114" s="13"/>
      <c r="V114" s="13"/>
    </row>
    <row r="115" spans="1:33" ht="14.25" customHeight="1" outlineLevel="1" thickBot="1" x14ac:dyDescent="0.35">
      <c r="B115" s="729" t="s">
        <v>115</v>
      </c>
      <c r="C115" s="729"/>
      <c r="D115" s="720" t="s">
        <v>196</v>
      </c>
      <c r="E115" s="721"/>
      <c r="F115" s="721"/>
      <c r="G115" s="721"/>
      <c r="H115" s="722"/>
      <c r="I115" s="124">
        <f>IF(F11=TRUE,'BASE IMPOSTO'!J15,)</f>
        <v>0</v>
      </c>
      <c r="J115" s="451">
        <f>IF(F11=TRUE,I115*J122,)</f>
        <v>0</v>
      </c>
      <c r="K115" s="50"/>
      <c r="L115" s="368">
        <f>IFERROR(J115/J130,)</f>
        <v>0</v>
      </c>
      <c r="M115" s="16"/>
      <c r="N115" s="16"/>
      <c r="O115" s="16"/>
      <c r="P115" s="16"/>
      <c r="Q115" s="16"/>
      <c r="T115" s="13"/>
      <c r="U115" s="13"/>
      <c r="V115" s="13"/>
    </row>
    <row r="116" spans="1:33" ht="14.25" customHeight="1" outlineLevel="1" thickBot="1" x14ac:dyDescent="0.35">
      <c r="B116" s="730" t="s">
        <v>116</v>
      </c>
      <c r="C116" s="730"/>
      <c r="D116" s="731" t="s">
        <v>202</v>
      </c>
      <c r="E116" s="732"/>
      <c r="F116" s="732"/>
      <c r="G116" s="732"/>
      <c r="H116" s="733"/>
      <c r="I116" s="125">
        <f>IF(H11=TRUE,'BASE IMPOSTO'!E15,)</f>
        <v>0.25329999999999997</v>
      </c>
      <c r="J116" s="452">
        <f>IF(H11=TRUE,I116*J122,)</f>
        <v>64768.556699999994</v>
      </c>
      <c r="K116" s="50"/>
      <c r="L116" s="367">
        <f>IFERROR(J116/J130,)</f>
        <v>0.25329999999999997</v>
      </c>
      <c r="M116" s="16"/>
      <c r="N116" s="16"/>
      <c r="O116" s="16"/>
      <c r="P116" s="16"/>
      <c r="Q116" s="16"/>
      <c r="T116" s="13"/>
      <c r="U116" s="13"/>
      <c r="V116" s="13"/>
    </row>
    <row r="117" spans="1:33" ht="6" customHeight="1" thickBot="1" x14ac:dyDescent="0.35">
      <c r="B117" s="100"/>
      <c r="C117" s="5"/>
      <c r="D117" s="5"/>
      <c r="E117" s="5"/>
      <c r="F117" s="5"/>
      <c r="G117" s="5"/>
      <c r="H117" s="5"/>
      <c r="I117" s="101"/>
      <c r="J117" s="101"/>
      <c r="K117" s="5"/>
      <c r="L117" s="4"/>
      <c r="M117" s="102"/>
      <c r="T117" s="16"/>
      <c r="U117" s="16"/>
    </row>
    <row r="118" spans="1:33" ht="15" customHeight="1" thickBot="1" x14ac:dyDescent="0.35">
      <c r="B118" s="734" t="s">
        <v>315</v>
      </c>
      <c r="C118" s="735"/>
      <c r="D118" s="735"/>
      <c r="E118" s="735"/>
      <c r="F118" s="735"/>
      <c r="G118" s="735"/>
      <c r="H118" s="735"/>
      <c r="I118" s="735"/>
      <c r="J118" s="565">
        <f>J115+J116</f>
        <v>64768.556699999994</v>
      </c>
      <c r="K118" s="53"/>
      <c r="L118" s="366"/>
      <c r="T118" s="13"/>
      <c r="U118" s="13"/>
      <c r="V118" s="13"/>
    </row>
    <row r="119" spans="1:33" ht="6" customHeight="1" thickBot="1" x14ac:dyDescent="0.35">
      <c r="B119" s="100"/>
      <c r="C119" s="5"/>
      <c r="D119" s="5"/>
      <c r="E119" s="5"/>
      <c r="F119" s="5"/>
      <c r="G119" s="5"/>
      <c r="H119" s="5"/>
      <c r="I119" s="5"/>
      <c r="J119" s="5"/>
      <c r="K119" s="5"/>
      <c r="L119" s="4"/>
      <c r="M119" s="104"/>
      <c r="N119" s="104"/>
      <c r="T119" s="16"/>
      <c r="U119" s="16"/>
    </row>
    <row r="120" spans="1:33" ht="24.75" customHeight="1" thickBot="1" x14ac:dyDescent="0.35">
      <c r="B120" s="700"/>
      <c r="C120" s="633"/>
      <c r="D120" s="633"/>
      <c r="E120" s="633"/>
      <c r="F120" s="633"/>
      <c r="G120" s="633"/>
      <c r="H120" s="633"/>
      <c r="I120" s="633"/>
      <c r="J120" s="634"/>
      <c r="K120" s="5"/>
      <c r="L120" s="4"/>
      <c r="M120" s="104"/>
      <c r="N120" s="104"/>
      <c r="T120" s="13"/>
      <c r="U120" s="13"/>
      <c r="V120" s="13"/>
    </row>
    <row r="121" spans="1:33" ht="27.6" customHeight="1" x14ac:dyDescent="0.3">
      <c r="B121" s="532"/>
      <c r="C121" s="533"/>
      <c r="D121" s="533"/>
      <c r="E121" s="533"/>
      <c r="F121" s="534"/>
      <c r="G121" s="512"/>
      <c r="H121" s="513"/>
      <c r="I121" s="514">
        <v>3</v>
      </c>
      <c r="J121" s="515">
        <f>ROUNDUP(H110+J111,0)</f>
        <v>51005</v>
      </c>
      <c r="K121" s="629"/>
      <c r="L121" s="432"/>
      <c r="M121" s="54"/>
      <c r="N121" s="103"/>
      <c r="O121" s="54"/>
      <c r="P121" s="54"/>
      <c r="Q121" s="54"/>
      <c r="T121" s="13"/>
      <c r="U121" s="13"/>
      <c r="V121" s="13"/>
      <c r="W121" s="13"/>
      <c r="X121" s="16"/>
    </row>
    <row r="122" spans="1:33" ht="27.6" customHeight="1" x14ac:dyDescent="0.3">
      <c r="B122" s="535"/>
      <c r="C122" s="536"/>
      <c r="D122" s="536"/>
      <c r="E122" s="536"/>
      <c r="F122" s="537"/>
      <c r="G122" s="479"/>
      <c r="H122" s="480"/>
      <c r="I122" s="481" t="s">
        <v>299</v>
      </c>
      <c r="J122" s="482">
        <f>ROUNDUP(SUM(J121)*(1+(I121))*(1+I115)*(1+I116),0)</f>
        <v>255699</v>
      </c>
      <c r="K122" s="629"/>
      <c r="L122" s="57"/>
      <c r="M122" s="54"/>
      <c r="N122" s="54"/>
      <c r="O122" s="54"/>
      <c r="P122" s="54"/>
      <c r="Q122" s="54"/>
      <c r="T122" s="13"/>
      <c r="U122" s="13"/>
      <c r="V122" s="13"/>
      <c r="W122" s="13"/>
      <c r="X122" s="16"/>
    </row>
    <row r="123" spans="1:33" ht="27.6" customHeight="1" x14ac:dyDescent="0.3">
      <c r="A123" s="58"/>
      <c r="B123" s="535"/>
      <c r="C123" s="536"/>
      <c r="D123" s="536"/>
      <c r="E123" s="536"/>
      <c r="F123" s="537"/>
      <c r="G123" s="483"/>
      <c r="H123" s="484"/>
      <c r="I123" s="485" t="s">
        <v>300</v>
      </c>
      <c r="J123" s="486">
        <f>J122-(J118+H110)</f>
        <v>141411.95725000001</v>
      </c>
      <c r="K123" s="60"/>
      <c r="L123" s="61"/>
      <c r="M123" s="62"/>
      <c r="N123" s="62"/>
      <c r="O123" s="62"/>
      <c r="P123" s="62"/>
      <c r="Q123" s="62"/>
      <c r="R123" s="58"/>
      <c r="S123" s="58"/>
      <c r="T123" s="59"/>
      <c r="U123" s="59"/>
      <c r="V123" s="59"/>
      <c r="W123" s="58"/>
      <c r="X123" s="58"/>
      <c r="Y123" s="58"/>
      <c r="Z123" s="58"/>
      <c r="AA123" s="58"/>
      <c r="AB123" s="58"/>
      <c r="AC123" s="58"/>
      <c r="AD123" s="58"/>
      <c r="AE123" s="58"/>
      <c r="AF123" s="58"/>
      <c r="AG123" s="58"/>
    </row>
    <row r="124" spans="1:33" ht="27.6" customHeight="1" thickBot="1" x14ac:dyDescent="0.35">
      <c r="A124" s="58"/>
      <c r="B124" s="535"/>
      <c r="C124" s="536"/>
      <c r="D124" s="536"/>
      <c r="E124" s="536"/>
      <c r="F124" s="537"/>
      <c r="G124" s="520"/>
      <c r="H124" s="521"/>
      <c r="I124" s="522" t="s">
        <v>303</v>
      </c>
      <c r="J124" s="523">
        <f>IFERROR(J123/J122,)</f>
        <v>0.55304071290853707</v>
      </c>
      <c r="K124" s="63"/>
      <c r="L124" s="171"/>
      <c r="M124" s="64"/>
      <c r="N124" s="64"/>
      <c r="O124" s="64"/>
      <c r="P124" s="64"/>
      <c r="Q124" s="64"/>
      <c r="R124" s="65"/>
      <c r="S124" s="65"/>
      <c r="T124" s="59"/>
      <c r="U124" s="59"/>
      <c r="V124" s="59"/>
      <c r="W124" s="58"/>
      <c r="X124" s="58"/>
      <c r="Y124" s="58"/>
      <c r="Z124" s="58"/>
      <c r="AA124" s="58"/>
      <c r="AB124" s="58"/>
      <c r="AC124" s="58"/>
      <c r="AD124" s="58"/>
      <c r="AE124" s="58"/>
      <c r="AF124" s="58"/>
      <c r="AG124" s="58"/>
    </row>
    <row r="125" spans="1:33" ht="27.6" customHeight="1" thickTop="1" x14ac:dyDescent="0.3">
      <c r="A125" s="58"/>
      <c r="B125" s="535"/>
      <c r="C125" s="536"/>
      <c r="D125" s="536"/>
      <c r="E125" s="536"/>
      <c r="F125" s="537"/>
      <c r="G125" s="516"/>
      <c r="H125" s="517"/>
      <c r="I125" s="518">
        <f>PRODUTOS!I94</f>
        <v>0.40046599999999993</v>
      </c>
      <c r="J125" s="519">
        <f>PRODUTOS!J93</f>
        <v>0</v>
      </c>
      <c r="K125" s="63"/>
      <c r="L125" s="171"/>
      <c r="M125" s="64"/>
      <c r="N125" s="64"/>
      <c r="O125" s="64"/>
      <c r="P125" s="64"/>
      <c r="Q125" s="64"/>
      <c r="R125" s="65"/>
      <c r="S125" s="65"/>
      <c r="T125" s="59"/>
      <c r="U125" s="59"/>
      <c r="V125" s="59"/>
      <c r="W125" s="58"/>
      <c r="X125" s="58"/>
      <c r="Y125" s="58"/>
      <c r="Z125" s="58"/>
      <c r="AA125" s="58"/>
      <c r="AB125" s="58"/>
      <c r="AC125" s="58"/>
      <c r="AD125" s="58"/>
      <c r="AE125" s="58"/>
      <c r="AF125" s="58"/>
      <c r="AG125" s="58"/>
    </row>
    <row r="126" spans="1:33" ht="27.6" customHeight="1" x14ac:dyDescent="0.3">
      <c r="A126" s="58"/>
      <c r="B126" s="535"/>
      <c r="C126" s="536"/>
      <c r="D126" s="536"/>
      <c r="E126" s="536"/>
      <c r="F126" s="537"/>
      <c r="G126" s="487"/>
      <c r="H126" s="488"/>
      <c r="I126" s="489" t="s">
        <v>301</v>
      </c>
      <c r="J126" s="490">
        <f>PRODUTOS!J96</f>
        <v>0</v>
      </c>
      <c r="K126" s="63"/>
      <c r="L126" s="171"/>
      <c r="M126" s="64"/>
      <c r="N126" s="64"/>
      <c r="O126" s="64"/>
      <c r="P126" s="64"/>
      <c r="Q126" s="64"/>
      <c r="R126" s="65"/>
      <c r="S126" s="65"/>
      <c r="T126" s="59"/>
      <c r="U126" s="59"/>
      <c r="V126" s="59"/>
      <c r="W126" s="58"/>
      <c r="X126" s="58"/>
      <c r="Y126" s="58"/>
      <c r="Z126" s="58"/>
      <c r="AA126" s="58"/>
      <c r="AB126" s="58"/>
      <c r="AC126" s="58"/>
      <c r="AD126" s="58"/>
      <c r="AE126" s="58"/>
      <c r="AF126" s="58"/>
      <c r="AG126" s="58"/>
    </row>
    <row r="127" spans="1:33" ht="27.6" customHeight="1" x14ac:dyDescent="0.3">
      <c r="A127" s="58"/>
      <c r="B127" s="535"/>
      <c r="C127" s="536"/>
      <c r="D127" s="536"/>
      <c r="E127" s="536"/>
      <c r="F127" s="537"/>
      <c r="G127" s="491"/>
      <c r="H127" s="492"/>
      <c r="I127" s="493" t="s">
        <v>302</v>
      </c>
      <c r="J127" s="494">
        <f>PRODUTOS!I97</f>
        <v>0</v>
      </c>
      <c r="K127" s="63"/>
      <c r="L127" s="171"/>
      <c r="M127" s="64"/>
      <c r="N127" s="64"/>
      <c r="O127" s="64"/>
      <c r="P127" s="64"/>
      <c r="Q127" s="64"/>
      <c r="R127" s="65"/>
      <c r="S127" s="65"/>
      <c r="T127" s="59"/>
      <c r="U127" s="59"/>
      <c r="V127" s="59"/>
      <c r="W127" s="58"/>
      <c r="X127" s="58"/>
      <c r="Y127" s="58"/>
      <c r="Z127" s="58"/>
      <c r="AA127" s="58"/>
      <c r="AB127" s="58"/>
      <c r="AC127" s="58"/>
      <c r="AD127" s="58"/>
      <c r="AE127" s="58"/>
      <c r="AF127" s="58"/>
      <c r="AG127" s="58"/>
    </row>
    <row r="128" spans="1:33" ht="27.6" customHeight="1" thickBot="1" x14ac:dyDescent="0.35">
      <c r="A128" s="58"/>
      <c r="B128" s="535"/>
      <c r="C128" s="536"/>
      <c r="D128" s="536"/>
      <c r="E128" s="536"/>
      <c r="F128" s="537"/>
      <c r="G128" s="498"/>
      <c r="H128" s="499"/>
      <c r="I128" s="500" t="s">
        <v>303</v>
      </c>
      <c r="J128" s="501">
        <f t="array" ref="J128:J129">PRODUTOS!J98:J99</f>
        <v>0</v>
      </c>
      <c r="K128" s="63"/>
      <c r="L128" s="171"/>
      <c r="M128" s="64"/>
      <c r="N128" s="64"/>
      <c r="O128" s="64"/>
      <c r="P128" s="64"/>
      <c r="Q128" s="64"/>
      <c r="R128" s="65"/>
      <c r="S128" s="65"/>
      <c r="T128" s="59"/>
      <c r="U128" s="59"/>
      <c r="V128" s="59"/>
      <c r="W128" s="58"/>
      <c r="X128" s="58"/>
      <c r="Y128" s="58"/>
      <c r="Z128" s="58"/>
      <c r="AA128" s="58"/>
      <c r="AB128" s="58"/>
      <c r="AC128" s="58"/>
      <c r="AD128" s="58"/>
      <c r="AE128" s="58"/>
      <c r="AF128" s="58"/>
      <c r="AG128" s="58"/>
    </row>
    <row r="129" spans="1:33" ht="7.2" customHeight="1" thickBot="1" x14ac:dyDescent="0.35">
      <c r="A129" s="58"/>
      <c r="B129" s="535"/>
      <c r="C129" s="536"/>
      <c r="D129" s="536"/>
      <c r="E129" s="536"/>
      <c r="F129" s="536"/>
      <c r="G129" s="542"/>
      <c r="H129" s="506"/>
      <c r="I129" s="507"/>
      <c r="J129" s="508">
        <v>0</v>
      </c>
      <c r="K129" s="63"/>
      <c r="L129" s="171"/>
      <c r="M129" s="64"/>
      <c r="N129" s="64"/>
      <c r="O129" s="64"/>
      <c r="P129" s="64"/>
      <c r="Q129" s="64"/>
      <c r="R129" s="65"/>
      <c r="S129" s="65"/>
      <c r="T129" s="59"/>
      <c r="U129" s="59"/>
      <c r="V129" s="59"/>
      <c r="W129" s="58"/>
      <c r="X129" s="58"/>
      <c r="Y129" s="58"/>
      <c r="Z129" s="58"/>
      <c r="AA129" s="58"/>
      <c r="AB129" s="58"/>
      <c r="AC129" s="58"/>
      <c r="AD129" s="58"/>
      <c r="AE129" s="58"/>
      <c r="AF129" s="58"/>
      <c r="AG129" s="58"/>
    </row>
    <row r="130" spans="1:33" ht="27.6" customHeight="1" x14ac:dyDescent="0.3">
      <c r="A130" s="58"/>
      <c r="B130" s="538"/>
      <c r="C130" s="539"/>
      <c r="D130" s="539"/>
      <c r="E130" s="539"/>
      <c r="F130" s="539"/>
      <c r="G130" s="539"/>
      <c r="H130" s="503"/>
      <c r="I130" s="504" t="s">
        <v>304</v>
      </c>
      <c r="J130" s="505">
        <f>J122+J126</f>
        <v>255699</v>
      </c>
      <c r="K130" s="63"/>
      <c r="L130" s="171"/>
      <c r="M130" s="64"/>
      <c r="N130" s="64"/>
      <c r="O130" s="64"/>
      <c r="P130" s="64"/>
      <c r="Q130" s="64"/>
      <c r="R130" s="65"/>
      <c r="S130" s="65"/>
      <c r="T130" s="59"/>
      <c r="U130" s="59"/>
      <c r="V130" s="59"/>
      <c r="W130" s="58"/>
      <c r="X130" s="58"/>
      <c r="Y130" s="58"/>
      <c r="Z130" s="58"/>
      <c r="AA130" s="58"/>
      <c r="AB130" s="58"/>
      <c r="AC130" s="58"/>
      <c r="AD130" s="58"/>
      <c r="AE130" s="58"/>
      <c r="AF130" s="58"/>
      <c r="AG130" s="58"/>
    </row>
    <row r="131" spans="1:33" ht="27.6" customHeight="1" x14ac:dyDescent="0.3">
      <c r="A131" s="58"/>
      <c r="B131" s="502"/>
      <c r="C131" s="503"/>
      <c r="D131" s="503"/>
      <c r="E131" s="503"/>
      <c r="F131" s="503"/>
      <c r="G131" s="503"/>
      <c r="H131" s="495"/>
      <c r="I131" s="496" t="s">
        <v>305</v>
      </c>
      <c r="J131" s="497">
        <f>J123+J127</f>
        <v>141411.95725000001</v>
      </c>
      <c r="K131" s="63"/>
      <c r="L131" s="171"/>
      <c r="M131" s="64"/>
      <c r="N131" s="64"/>
      <c r="O131" s="64"/>
      <c r="P131" s="64"/>
      <c r="Q131" s="64"/>
      <c r="R131" s="65"/>
      <c r="S131" s="65"/>
      <c r="T131" s="59"/>
      <c r="U131" s="59"/>
      <c r="V131" s="59"/>
      <c r="W131" s="58"/>
      <c r="X131" s="58"/>
      <c r="Y131" s="58"/>
      <c r="Z131" s="58"/>
      <c r="AA131" s="58"/>
      <c r="AB131" s="58"/>
      <c r="AC131" s="58"/>
      <c r="AD131" s="58"/>
      <c r="AE131" s="58"/>
      <c r="AF131" s="58"/>
      <c r="AG131" s="58"/>
    </row>
    <row r="132" spans="1:33" ht="27.6" customHeight="1" thickBot="1" x14ac:dyDescent="0.35">
      <c r="A132" s="58"/>
      <c r="B132" s="540"/>
      <c r="C132" s="541"/>
      <c r="D132" s="541"/>
      <c r="E132" s="541"/>
      <c r="F132" s="541"/>
      <c r="G132" s="541"/>
      <c r="H132" s="509"/>
      <c r="I132" s="510" t="s">
        <v>306</v>
      </c>
      <c r="J132" s="511">
        <f>IFERROR(J131/J130,)</f>
        <v>0.55304071290853707</v>
      </c>
      <c r="K132" s="63"/>
      <c r="L132" s="171"/>
      <c r="M132" s="64"/>
      <c r="N132" s="64"/>
      <c r="O132" s="64"/>
      <c r="P132" s="64"/>
      <c r="Q132" s="64"/>
      <c r="R132" s="65"/>
      <c r="S132" s="65"/>
      <c r="T132" s="59"/>
      <c r="U132" s="59"/>
      <c r="V132" s="59"/>
      <c r="W132" s="58"/>
      <c r="X132" s="58"/>
      <c r="Y132" s="58"/>
      <c r="Z132" s="58"/>
      <c r="AA132" s="58"/>
      <c r="AB132" s="58"/>
      <c r="AC132" s="58"/>
      <c r="AD132" s="58"/>
      <c r="AE132" s="58"/>
      <c r="AF132" s="58"/>
      <c r="AG132" s="58"/>
    </row>
    <row r="133" spans="1:33" ht="4.2" customHeight="1" thickBot="1" x14ac:dyDescent="0.35">
      <c r="A133" s="58"/>
      <c r="B133" s="362"/>
      <c r="C133" s="362"/>
      <c r="D133" s="362"/>
      <c r="E133" s="362"/>
      <c r="F133" s="362"/>
      <c r="G133" s="364"/>
      <c r="H133" s="364"/>
      <c r="I133" s="364"/>
      <c r="J133" s="460"/>
      <c r="K133" s="63"/>
      <c r="L133" s="171"/>
      <c r="M133" s="64"/>
      <c r="N133" s="64"/>
      <c r="O133" s="64"/>
      <c r="P133" s="64"/>
      <c r="Q133" s="64"/>
      <c r="R133" s="65"/>
      <c r="S133" s="65"/>
      <c r="T133" s="59"/>
      <c r="U133" s="59"/>
      <c r="V133" s="59"/>
      <c r="W133" s="58"/>
      <c r="X133" s="58"/>
      <c r="Y133" s="58"/>
      <c r="Z133" s="58"/>
      <c r="AA133" s="58"/>
      <c r="AB133" s="58"/>
      <c r="AC133" s="58"/>
      <c r="AD133" s="58"/>
      <c r="AE133" s="58"/>
      <c r="AF133" s="58"/>
      <c r="AG133" s="58"/>
    </row>
    <row r="134" spans="1:33" ht="19.5" customHeight="1" thickBot="1" x14ac:dyDescent="0.35">
      <c r="A134" s="58"/>
      <c r="B134" s="714" t="s">
        <v>260</v>
      </c>
      <c r="C134" s="715"/>
      <c r="D134" s="715"/>
      <c r="E134" s="715"/>
      <c r="F134" s="715"/>
      <c r="G134" s="715"/>
      <c r="H134" s="715"/>
      <c r="I134" s="715"/>
      <c r="J134" s="716"/>
      <c r="K134" s="63"/>
      <c r="L134" s="171"/>
      <c r="M134" s="64"/>
      <c r="N134" s="64"/>
      <c r="O134" s="64"/>
      <c r="P134" s="64"/>
      <c r="Q134" s="64"/>
      <c r="R134" s="65"/>
      <c r="S134" s="65"/>
      <c r="T134" s="59"/>
      <c r="U134" s="59"/>
      <c r="V134" s="59"/>
      <c r="W134" s="58"/>
      <c r="X134" s="58"/>
      <c r="Y134" s="58"/>
      <c r="Z134" s="58"/>
      <c r="AA134" s="58"/>
      <c r="AB134" s="58"/>
      <c r="AC134" s="58"/>
      <c r="AD134" s="58"/>
      <c r="AE134" s="58"/>
      <c r="AF134" s="58"/>
      <c r="AG134" s="58"/>
    </row>
    <row r="135" spans="1:33" ht="4.2" customHeight="1" thickBot="1" x14ac:dyDescent="0.35">
      <c r="A135" s="58"/>
      <c r="B135" s="325"/>
      <c r="C135" s="362"/>
      <c r="D135" s="362"/>
      <c r="E135" s="362"/>
      <c r="F135" s="362"/>
      <c r="G135" s="364"/>
      <c r="H135" s="364"/>
      <c r="I135" s="364"/>
      <c r="J135" s="229"/>
      <c r="K135" s="63"/>
      <c r="L135" s="171"/>
      <c r="M135" s="64"/>
      <c r="N135" s="64"/>
      <c r="O135" s="64"/>
      <c r="P135" s="64"/>
      <c r="Q135" s="64"/>
      <c r="R135" s="65"/>
      <c r="S135" s="65"/>
      <c r="T135" s="59"/>
      <c r="U135" s="59"/>
      <c r="V135" s="59"/>
      <c r="W135" s="58"/>
      <c r="X135" s="58"/>
      <c r="Y135" s="58"/>
      <c r="Z135" s="58"/>
      <c r="AA135" s="58"/>
      <c r="AB135" s="58"/>
      <c r="AC135" s="58"/>
      <c r="AD135" s="58"/>
      <c r="AE135" s="58"/>
      <c r="AF135" s="58"/>
      <c r="AG135" s="58"/>
    </row>
    <row r="136" spans="1:33" s="88" customFormat="1" ht="16.2" outlineLevel="1" thickBot="1" x14ac:dyDescent="0.35">
      <c r="B136" s="710" t="s">
        <v>314</v>
      </c>
      <c r="C136" s="711"/>
      <c r="D136" s="711"/>
      <c r="E136" s="708" t="s">
        <v>348</v>
      </c>
      <c r="F136" s="709"/>
      <c r="G136" s="373">
        <f>IF(E136="Imediato",0,IF(E136="30 dias",0.02,IF(E136="60 dias",0.04,IF(E136="90 dias",0.06,))))</f>
        <v>0.02</v>
      </c>
      <c r="H136" s="712" t="s">
        <v>307</v>
      </c>
      <c r="I136" s="713"/>
      <c r="J136" s="543">
        <f>ROUNDUP(IF($E$136="Imediato",J130,IF($E$136="30 dias",J130*(1+G136),IF($E$136="60 dias",J130*(1+G136),IF($E$136="90 dias",J130*(1+G136),)))),0)</f>
        <v>260813</v>
      </c>
      <c r="K136" s="322"/>
      <c r="L136" s="372"/>
      <c r="T136" s="324"/>
      <c r="U136" s="324"/>
      <c r="V136" s="324"/>
    </row>
    <row r="137" spans="1:33" ht="6.6" customHeight="1" x14ac:dyDescent="0.3">
      <c r="A137" s="58"/>
      <c r="B137" s="362"/>
      <c r="C137" s="362"/>
      <c r="D137" s="362"/>
      <c r="E137" s="362"/>
      <c r="F137" s="362"/>
      <c r="G137" s="364"/>
      <c r="H137" s="364"/>
      <c r="I137" s="364"/>
      <c r="J137" s="363"/>
      <c r="K137" s="63"/>
      <c r="L137" s="171"/>
      <c r="M137" s="64"/>
      <c r="N137" s="64"/>
      <c r="O137" s="64"/>
      <c r="P137" s="64"/>
      <c r="Q137" s="64"/>
      <c r="R137" s="65"/>
      <c r="S137" s="65"/>
      <c r="T137" s="59"/>
      <c r="U137" s="59"/>
      <c r="V137" s="59"/>
      <c r="W137" s="58"/>
      <c r="X137" s="58"/>
      <c r="Y137" s="58"/>
      <c r="Z137" s="58"/>
      <c r="AA137" s="58"/>
      <c r="AB137" s="58"/>
      <c r="AC137" s="58"/>
      <c r="AD137" s="58"/>
      <c r="AE137" s="58"/>
      <c r="AF137" s="58"/>
      <c r="AG137" s="58"/>
    </row>
    <row r="138" spans="1:33" ht="27" customHeight="1" thickBot="1" x14ac:dyDescent="0.35">
      <c r="B138" s="66"/>
      <c r="G138" s="19"/>
      <c r="H138" s="196"/>
      <c r="I138" s="68"/>
      <c r="J138" s="326"/>
      <c r="K138" s="111"/>
      <c r="L138" s="195"/>
    </row>
    <row r="139" spans="1:33" ht="15" customHeight="1" thickBot="1" x14ac:dyDescent="0.35">
      <c r="E139" s="702" t="s">
        <v>243</v>
      </c>
      <c r="F139" s="703"/>
      <c r="G139" s="703"/>
      <c r="H139" s="704"/>
      <c r="I139" s="68"/>
      <c r="J139" s="823"/>
      <c r="L139" s="824"/>
      <c r="M139" s="4"/>
    </row>
    <row r="140" spans="1:33" ht="15" customHeight="1" thickBot="1" x14ac:dyDescent="0.35">
      <c r="E140" s="239" t="s">
        <v>121</v>
      </c>
      <c r="F140" s="180" t="s">
        <v>122</v>
      </c>
      <c r="G140" s="243" t="s">
        <v>123</v>
      </c>
      <c r="H140" s="443" t="s">
        <v>122</v>
      </c>
      <c r="I140" s="68"/>
      <c r="M140" s="4"/>
      <c r="P140" s="72"/>
      <c r="Q140" s="72"/>
      <c r="R140" s="72"/>
      <c r="S140" s="72"/>
      <c r="T140" s="72"/>
    </row>
    <row r="141" spans="1:33" ht="15" customHeight="1" x14ac:dyDescent="0.3">
      <c r="C141" s="15"/>
      <c r="D141" s="73"/>
      <c r="E141" s="240" t="s">
        <v>124</v>
      </c>
      <c r="F141" s="242">
        <v>0.5</v>
      </c>
      <c r="G141" s="183">
        <v>0.45</v>
      </c>
      <c r="H141" s="456">
        <v>105</v>
      </c>
      <c r="I141" s="68"/>
      <c r="J141" s="825"/>
      <c r="L141" s="175"/>
      <c r="M141" s="170"/>
      <c r="N141" s="72"/>
      <c r="O141" s="72"/>
      <c r="P141" s="72"/>
      <c r="Q141" s="72"/>
      <c r="R141" s="72"/>
      <c r="S141" s="72"/>
      <c r="T141" s="72"/>
      <c r="U141" s="74"/>
      <c r="V141" s="74"/>
    </row>
    <row r="142" spans="1:33" ht="15" customHeight="1" x14ac:dyDescent="0.3">
      <c r="C142" s="15"/>
      <c r="E142" s="241" t="s">
        <v>126</v>
      </c>
      <c r="F142" s="181">
        <v>0.65</v>
      </c>
      <c r="G142" s="184">
        <v>0.6</v>
      </c>
      <c r="H142" s="455"/>
      <c r="I142" s="68"/>
      <c r="K142" s="172"/>
      <c r="L142" s="176"/>
      <c r="M142" s="177"/>
      <c r="N142" s="76"/>
      <c r="O142" s="76"/>
      <c r="P142" s="76"/>
      <c r="Q142" s="76"/>
      <c r="R142" s="76"/>
      <c r="S142" s="72"/>
      <c r="T142" s="72"/>
      <c r="U142" s="74"/>
      <c r="V142" s="74"/>
    </row>
    <row r="143" spans="1:33" ht="15" customHeight="1" x14ac:dyDescent="0.3">
      <c r="C143" s="15"/>
      <c r="D143" s="77"/>
      <c r="E143" s="241" t="s">
        <v>263</v>
      </c>
      <c r="F143" s="181">
        <v>0.7</v>
      </c>
      <c r="G143" s="184">
        <v>0.55000000000000004</v>
      </c>
      <c r="H143" s="455">
        <v>412</v>
      </c>
      <c r="I143" s="68"/>
      <c r="K143" s="173"/>
      <c r="L143" s="178"/>
      <c r="M143" s="178"/>
      <c r="N143" s="72"/>
      <c r="O143" s="72"/>
      <c r="P143" s="72"/>
      <c r="Q143" s="72"/>
      <c r="R143" s="72"/>
      <c r="S143" s="72"/>
      <c r="T143" s="72"/>
      <c r="U143" s="74"/>
      <c r="V143" s="74"/>
    </row>
    <row r="144" spans="1:33" ht="15" customHeight="1" x14ac:dyDescent="0.3">
      <c r="C144" s="15"/>
      <c r="E144" s="241" t="s">
        <v>128</v>
      </c>
      <c r="F144" s="181">
        <v>0.7</v>
      </c>
      <c r="G144" s="184">
        <v>0.65</v>
      </c>
      <c r="H144" s="455">
        <v>750</v>
      </c>
      <c r="I144" s="68"/>
      <c r="K144" s="174"/>
      <c r="L144" s="701"/>
      <c r="M144" s="725"/>
      <c r="S144" s="72"/>
      <c r="T144" s="72"/>
      <c r="U144" s="74"/>
      <c r="V144" s="74"/>
    </row>
    <row r="145" spans="3:26" ht="15" customHeight="1" x14ac:dyDescent="0.3">
      <c r="C145" s="15"/>
      <c r="E145" s="241" t="s">
        <v>262</v>
      </c>
      <c r="F145" s="181">
        <v>0.7</v>
      </c>
      <c r="G145" s="184">
        <v>0.55000000000000004</v>
      </c>
      <c r="H145" s="455">
        <v>254.35</v>
      </c>
      <c r="I145" s="68"/>
      <c r="J145" s="374"/>
      <c r="K145" s="174"/>
      <c r="L145" s="701"/>
      <c r="M145" s="725"/>
      <c r="S145" s="72"/>
      <c r="T145" s="72"/>
      <c r="U145" s="74"/>
      <c r="V145" s="74"/>
    </row>
    <row r="146" spans="3:26" ht="15" customHeight="1" x14ac:dyDescent="0.3">
      <c r="E146" s="241" t="s">
        <v>228</v>
      </c>
      <c r="F146" s="181">
        <v>0.55000000000000004</v>
      </c>
      <c r="G146" s="184">
        <v>0.5</v>
      </c>
      <c r="H146" s="455">
        <v>245.12</v>
      </c>
      <c r="I146" s="68"/>
      <c r="K146" s="174"/>
      <c r="L146" s="701"/>
      <c r="M146" s="725"/>
      <c r="S146" s="72"/>
      <c r="T146" s="72"/>
      <c r="U146" s="74"/>
      <c r="V146" s="74"/>
    </row>
    <row r="147" spans="3:26" ht="15" customHeight="1" x14ac:dyDescent="0.3">
      <c r="E147" s="244" t="s">
        <v>129</v>
      </c>
      <c r="F147" s="245">
        <v>0.55000000000000004</v>
      </c>
      <c r="G147" s="246">
        <v>0.42</v>
      </c>
      <c r="H147" s="457">
        <v>105</v>
      </c>
      <c r="I147" s="68"/>
      <c r="J147" s="70"/>
      <c r="K147" s="70"/>
      <c r="L147" s="110"/>
      <c r="M147" s="110"/>
      <c r="N147" s="72"/>
      <c r="O147" s="72"/>
      <c r="P147" s="72"/>
      <c r="Q147" s="72"/>
      <c r="R147" s="72"/>
      <c r="S147" s="72"/>
      <c r="T147" s="72"/>
      <c r="U147" s="74"/>
      <c r="V147" s="74"/>
    </row>
    <row r="148" spans="3:26" ht="15" customHeight="1" x14ac:dyDescent="0.3">
      <c r="E148" s="314" t="s">
        <v>75</v>
      </c>
      <c r="F148" s="312">
        <v>0.5</v>
      </c>
      <c r="G148" s="181">
        <v>0.42</v>
      </c>
      <c r="H148" s="458">
        <v>151.35</v>
      </c>
      <c r="I148" s="68"/>
      <c r="J148" s="70"/>
      <c r="K148" s="70"/>
      <c r="L148" s="110"/>
      <c r="M148" s="110"/>
      <c r="N148" s="72"/>
      <c r="O148" s="72"/>
      <c r="P148" s="72"/>
      <c r="Q148" s="72"/>
      <c r="R148" s="72"/>
      <c r="S148" s="72"/>
      <c r="T148" s="72"/>
      <c r="U148" s="74"/>
      <c r="V148" s="74"/>
    </row>
    <row r="149" spans="3:26" ht="15" customHeight="1" thickBot="1" x14ac:dyDescent="0.35">
      <c r="E149" s="315" t="s">
        <v>244</v>
      </c>
      <c r="F149" s="182">
        <v>0.6</v>
      </c>
      <c r="G149" s="313">
        <v>0.5</v>
      </c>
      <c r="H149" s="459">
        <v>156.25</v>
      </c>
      <c r="I149" s="68"/>
      <c r="K149" s="70"/>
      <c r="L149" s="178"/>
      <c r="M149" s="178"/>
      <c r="N149" s="74"/>
      <c r="O149" s="74"/>
      <c r="P149" s="74"/>
      <c r="Q149" s="74"/>
      <c r="R149" s="74"/>
      <c r="S149" s="74"/>
      <c r="T149" s="74"/>
      <c r="U149" s="74"/>
      <c r="V149" s="74"/>
    </row>
    <row r="150" spans="3:26" ht="5.4" customHeight="1" thickBot="1" x14ac:dyDescent="0.35">
      <c r="E150" s="71"/>
      <c r="F150" s="71"/>
      <c r="G150" s="78"/>
      <c r="H150" s="75"/>
      <c r="K150" s="70"/>
      <c r="L150" s="701"/>
      <c r="M150" s="725"/>
      <c r="N150" s="74"/>
      <c r="O150" s="74"/>
      <c r="P150" s="74"/>
      <c r="Q150" s="74"/>
      <c r="R150" s="74"/>
      <c r="S150" s="74"/>
      <c r="T150" s="74"/>
      <c r="U150" s="74"/>
    </row>
    <row r="151" spans="3:26" ht="15" customHeight="1" thickBot="1" x14ac:dyDescent="0.35">
      <c r="E151" s="705" t="s">
        <v>125</v>
      </c>
      <c r="F151" s="706"/>
      <c r="G151" s="706"/>
      <c r="H151" s="707"/>
      <c r="I151" s="74"/>
      <c r="J151" s="74"/>
      <c r="K151" s="110"/>
      <c r="L151" s="701"/>
      <c r="M151" s="725"/>
      <c r="N151" s="74"/>
      <c r="O151" s="74"/>
    </row>
    <row r="152" spans="3:26" ht="12.75" customHeight="1" thickBot="1" x14ac:dyDescent="0.35">
      <c r="E152" s="71"/>
      <c r="F152" s="79"/>
      <c r="I152" s="110"/>
      <c r="J152" s="110"/>
      <c r="K152" s="110"/>
      <c r="L152" s="70"/>
      <c r="M152" s="70"/>
    </row>
    <row r="153" spans="3:26" ht="14.4" thickBot="1" x14ac:dyDescent="0.35">
      <c r="E153" s="237" t="s">
        <v>226</v>
      </c>
      <c r="F153" s="80"/>
      <c r="I153" s="726"/>
      <c r="J153" s="727"/>
      <c r="K153" s="110"/>
      <c r="L153" s="70"/>
      <c r="M153" s="70"/>
      <c r="V153" s="696" t="s">
        <v>158</v>
      </c>
      <c r="W153" s="90" t="s">
        <v>50</v>
      </c>
      <c r="X153" s="91" t="s">
        <v>127</v>
      </c>
      <c r="Z153" s="90" t="s">
        <v>108</v>
      </c>
    </row>
    <row r="154" spans="3:26" ht="14.4" thickBot="1" x14ac:dyDescent="0.35">
      <c r="E154" s="453">
        <f>IFERROR(J122/F40/F9/8.8,)</f>
        <v>387.42272727272729</v>
      </c>
      <c r="F154" s="4"/>
      <c r="I154" s="726"/>
      <c r="J154" s="727"/>
      <c r="K154" s="110"/>
      <c r="V154" s="697"/>
      <c r="W154" s="87" t="e">
        <f>ROUNDUP((#REF!*X154),0)</f>
        <v>#REF!</v>
      </c>
      <c r="X154" s="89" t="e">
        <f>SUM(#REF!)</f>
        <v>#REF!</v>
      </c>
      <c r="Z154" s="723" t="e">
        <f>W154+W156</f>
        <v>#REF!</v>
      </c>
    </row>
    <row r="155" spans="3:26" ht="2.25" customHeight="1" thickBot="1" x14ac:dyDescent="0.35">
      <c r="E155" s="247"/>
      <c r="F155" s="4"/>
      <c r="I155" s="728"/>
      <c r="J155" s="727"/>
      <c r="K155" s="110"/>
      <c r="V155" s="697"/>
      <c r="W155" s="90" t="s">
        <v>157</v>
      </c>
      <c r="X155" s="91" t="s">
        <v>127</v>
      </c>
      <c r="Z155" s="724"/>
    </row>
    <row r="156" spans="3:26" ht="14.4" thickBot="1" x14ac:dyDescent="0.35">
      <c r="E156" s="238" t="s">
        <v>227</v>
      </c>
      <c r="F156" s="4"/>
      <c r="I156" s="728"/>
      <c r="J156" s="727"/>
      <c r="K156" s="110"/>
      <c r="V156" s="698"/>
      <c r="W156" s="87" t="e">
        <f>ROUNDUP((X156*PRODUTOS!I97),0)</f>
        <v>#REF!</v>
      </c>
      <c r="X156" s="89" t="e">
        <f>#REF!</f>
        <v>#REF!</v>
      </c>
      <c r="Z156" s="724"/>
    </row>
    <row r="157" spans="3:26" ht="12.75" customHeight="1" thickBot="1" x14ac:dyDescent="0.35">
      <c r="E157" s="454">
        <f>E154*8.8</f>
        <v>3409.3200000000006</v>
      </c>
      <c r="F157" s="81"/>
      <c r="H157" s="71"/>
      <c r="I157" s="110"/>
      <c r="J157" s="110"/>
      <c r="K157" s="110"/>
      <c r="L157" s="88"/>
    </row>
    <row r="158" spans="3:26" ht="12.75" customHeight="1" x14ac:dyDescent="0.3">
      <c r="E158" s="71"/>
      <c r="F158" s="81"/>
      <c r="H158" s="71"/>
      <c r="I158" s="110"/>
      <c r="J158" s="110"/>
      <c r="K158" s="110"/>
      <c r="L158" s="699"/>
    </row>
    <row r="159" spans="3:26" ht="12.75" customHeight="1" x14ac:dyDescent="0.3">
      <c r="E159" s="71"/>
      <c r="F159" s="81"/>
      <c r="H159" s="71"/>
      <c r="L159" s="699"/>
    </row>
    <row r="160" spans="3:26" ht="12.75" customHeight="1" x14ac:dyDescent="0.3">
      <c r="F160" s="81"/>
      <c r="H160" s="71"/>
      <c r="L160" s="4"/>
    </row>
    <row r="161" spans="8:12" ht="12.75" customHeight="1" x14ac:dyDescent="0.3">
      <c r="H161" s="71"/>
      <c r="L161" s="4"/>
    </row>
    <row r="162" spans="8:12" ht="12.75" customHeight="1" x14ac:dyDescent="0.3">
      <c r="H162" s="71"/>
      <c r="L162" s="4"/>
    </row>
    <row r="163" spans="8:12" ht="12.75" customHeight="1" x14ac:dyDescent="0.3">
      <c r="H163" s="71"/>
      <c r="L163" s="4"/>
    </row>
    <row r="164" spans="8:12" ht="12.75" customHeight="1" x14ac:dyDescent="0.3">
      <c r="H164" s="71"/>
      <c r="L164" s="4"/>
    </row>
    <row r="165" spans="8:12" ht="12.75" customHeight="1" x14ac:dyDescent="0.3">
      <c r="H165" s="71"/>
      <c r="L165" s="4"/>
    </row>
    <row r="166" spans="8:12" ht="12.75" customHeight="1" x14ac:dyDescent="0.3">
      <c r="H166" s="71"/>
      <c r="L166" s="4"/>
    </row>
    <row r="167" spans="8:12" ht="12.75" customHeight="1" x14ac:dyDescent="0.3">
      <c r="H167" s="71"/>
      <c r="L167" s="4"/>
    </row>
    <row r="168" spans="8:12" ht="12.75" customHeight="1" x14ac:dyDescent="0.3">
      <c r="H168" s="71"/>
      <c r="L168" s="4"/>
    </row>
    <row r="169" spans="8:12" ht="12.75" customHeight="1" x14ac:dyDescent="0.3">
      <c r="H169" s="71"/>
      <c r="L169" s="4"/>
    </row>
    <row r="170" spans="8:12" ht="12.75" customHeight="1" x14ac:dyDescent="0.3">
      <c r="H170" s="71"/>
      <c r="L170" s="4"/>
    </row>
    <row r="171" spans="8:12" ht="12.75" customHeight="1" x14ac:dyDescent="0.3">
      <c r="H171" s="71"/>
      <c r="L171" s="4"/>
    </row>
    <row r="172" spans="8:12" ht="12.75" customHeight="1" x14ac:dyDescent="0.3">
      <c r="H172" s="71"/>
      <c r="L172" s="4"/>
    </row>
    <row r="173" spans="8:12" ht="12.75" customHeight="1" x14ac:dyDescent="0.3">
      <c r="H173" s="71"/>
      <c r="L173" s="4"/>
    </row>
    <row r="174" spans="8:12" ht="12.75" customHeight="1" x14ac:dyDescent="0.3">
      <c r="H174" s="71"/>
      <c r="L174" s="4"/>
    </row>
    <row r="175" spans="8:12" ht="12.75" customHeight="1" x14ac:dyDescent="0.3">
      <c r="H175" s="71"/>
      <c r="L175" s="4"/>
    </row>
    <row r="176" spans="8:12" ht="12.75" customHeight="1" x14ac:dyDescent="0.3">
      <c r="H176" s="71"/>
      <c r="L176" s="4"/>
    </row>
    <row r="177" spans="8:12" ht="12.75" customHeight="1" x14ac:dyDescent="0.3">
      <c r="H177" s="71"/>
      <c r="L177" s="4"/>
    </row>
    <row r="178" spans="8:12" ht="12.75" customHeight="1" x14ac:dyDescent="0.3">
      <c r="H178" s="71"/>
      <c r="L178" s="4"/>
    </row>
    <row r="179" spans="8:12" ht="12.75" customHeight="1" x14ac:dyDescent="0.3">
      <c r="H179" s="71"/>
      <c r="L179" s="4"/>
    </row>
    <row r="180" spans="8:12" ht="12.75" customHeight="1" x14ac:dyDescent="0.3">
      <c r="H180" s="71"/>
      <c r="L180" s="4"/>
    </row>
    <row r="181" spans="8:12" ht="12.75" customHeight="1" x14ac:dyDescent="0.3">
      <c r="H181" s="71"/>
      <c r="L181" s="4"/>
    </row>
    <row r="182" spans="8:12" ht="12.75" customHeight="1" x14ac:dyDescent="0.3">
      <c r="H182" s="71"/>
      <c r="L182" s="4"/>
    </row>
    <row r="183" spans="8:12" ht="12.75" customHeight="1" x14ac:dyDescent="0.3">
      <c r="H183" s="71"/>
      <c r="L183" s="4"/>
    </row>
    <row r="184" spans="8:12" ht="12.75" customHeight="1" x14ac:dyDescent="0.3">
      <c r="H184" s="71"/>
      <c r="L184" s="4"/>
    </row>
    <row r="185" spans="8:12" ht="12.75" customHeight="1" x14ac:dyDescent="0.3">
      <c r="H185" s="71"/>
      <c r="L185" s="4"/>
    </row>
    <row r="186" spans="8:12" ht="12.75" customHeight="1" x14ac:dyDescent="0.3">
      <c r="H186" s="71"/>
      <c r="L186" s="4"/>
    </row>
    <row r="187" spans="8:12" ht="12.75" customHeight="1" x14ac:dyDescent="0.3">
      <c r="H187" s="71"/>
      <c r="L187" s="4"/>
    </row>
    <row r="188" spans="8:12" ht="12.75" customHeight="1" x14ac:dyDescent="0.3">
      <c r="H188" s="71"/>
      <c r="L188" s="4"/>
    </row>
    <row r="189" spans="8:12" ht="12.75" customHeight="1" x14ac:dyDescent="0.3">
      <c r="H189" s="71"/>
      <c r="L189" s="4"/>
    </row>
    <row r="190" spans="8:12" ht="12.75" customHeight="1" x14ac:dyDescent="0.3">
      <c r="H190" s="71"/>
      <c r="L190" s="4"/>
    </row>
    <row r="191" spans="8:12" ht="12.75" customHeight="1" x14ac:dyDescent="0.3">
      <c r="H191" s="71"/>
      <c r="L191" s="4"/>
    </row>
    <row r="192" spans="8:12" ht="12.75" customHeight="1" x14ac:dyDescent="0.3">
      <c r="H192" s="71"/>
      <c r="L192" s="4"/>
    </row>
    <row r="193" spans="8:12" ht="12.75" customHeight="1" x14ac:dyDescent="0.3">
      <c r="H193" s="71"/>
      <c r="L193" s="4"/>
    </row>
    <row r="194" spans="8:12" ht="12.75" customHeight="1" x14ac:dyDescent="0.3">
      <c r="H194" s="71"/>
      <c r="L194" s="4"/>
    </row>
    <row r="195" spans="8:12" ht="12.75" customHeight="1" x14ac:dyDescent="0.3">
      <c r="H195" s="71"/>
      <c r="L195" s="4"/>
    </row>
    <row r="196" spans="8:12" ht="12.75" customHeight="1" x14ac:dyDescent="0.3">
      <c r="H196" s="71"/>
      <c r="L196" s="4"/>
    </row>
    <row r="197" spans="8:12" ht="12.75" customHeight="1" x14ac:dyDescent="0.3">
      <c r="H197" s="71"/>
      <c r="L197" s="4"/>
    </row>
    <row r="198" spans="8:12" ht="12.75" customHeight="1" x14ac:dyDescent="0.3">
      <c r="H198" s="71"/>
      <c r="L198" s="4"/>
    </row>
    <row r="199" spans="8:12" ht="12.75" customHeight="1" x14ac:dyDescent="0.3">
      <c r="H199" s="71"/>
      <c r="L199" s="4"/>
    </row>
    <row r="200" spans="8:12" ht="12.75" customHeight="1" x14ac:dyDescent="0.3">
      <c r="H200" s="71"/>
      <c r="L200" s="4"/>
    </row>
    <row r="201" spans="8:12" ht="12.75" customHeight="1" x14ac:dyDescent="0.3">
      <c r="H201" s="71"/>
      <c r="L201" s="4"/>
    </row>
    <row r="202" spans="8:12" ht="12.75" customHeight="1" x14ac:dyDescent="0.3">
      <c r="H202" s="71"/>
      <c r="L202" s="4"/>
    </row>
    <row r="203" spans="8:12" ht="12.75" customHeight="1" x14ac:dyDescent="0.3">
      <c r="H203" s="71"/>
      <c r="L203" s="4"/>
    </row>
    <row r="204" spans="8:12" ht="12.75" customHeight="1" x14ac:dyDescent="0.3">
      <c r="H204" s="71"/>
      <c r="L204" s="4"/>
    </row>
    <row r="205" spans="8:12" ht="12.75" customHeight="1" x14ac:dyDescent="0.3">
      <c r="H205" s="71"/>
      <c r="L205" s="4"/>
    </row>
    <row r="206" spans="8:12" ht="12.75" customHeight="1" x14ac:dyDescent="0.3">
      <c r="H206" s="71"/>
      <c r="L206" s="4"/>
    </row>
    <row r="207" spans="8:12" ht="12.75" customHeight="1" x14ac:dyDescent="0.3">
      <c r="H207" s="71"/>
      <c r="L207" s="4"/>
    </row>
    <row r="208" spans="8:12" ht="12.75" customHeight="1" x14ac:dyDescent="0.3">
      <c r="H208" s="71"/>
      <c r="L208" s="4"/>
    </row>
    <row r="209" spans="8:12" ht="12.75" customHeight="1" x14ac:dyDescent="0.3">
      <c r="H209" s="71"/>
      <c r="L209" s="4"/>
    </row>
    <row r="210" spans="8:12" ht="12.75" customHeight="1" x14ac:dyDescent="0.3">
      <c r="H210" s="71"/>
      <c r="L210" s="4"/>
    </row>
    <row r="211" spans="8:12" ht="12.75" customHeight="1" x14ac:dyDescent="0.3">
      <c r="H211" s="71"/>
      <c r="L211" s="4"/>
    </row>
    <row r="212" spans="8:12" ht="12.75" customHeight="1" x14ac:dyDescent="0.3">
      <c r="H212" s="71"/>
      <c r="L212" s="4"/>
    </row>
    <row r="213" spans="8:12" ht="12.75" customHeight="1" x14ac:dyDescent="0.3">
      <c r="H213" s="71"/>
      <c r="L213" s="4"/>
    </row>
    <row r="214" spans="8:12" ht="12.75" customHeight="1" x14ac:dyDescent="0.3">
      <c r="H214" s="71"/>
      <c r="L214" s="4"/>
    </row>
    <row r="215" spans="8:12" ht="12.75" customHeight="1" x14ac:dyDescent="0.3">
      <c r="H215" s="71"/>
      <c r="L215" s="4"/>
    </row>
    <row r="216" spans="8:12" ht="12.75" customHeight="1" x14ac:dyDescent="0.3">
      <c r="H216" s="71"/>
      <c r="L216" s="4"/>
    </row>
    <row r="217" spans="8:12" ht="12.75" customHeight="1" x14ac:dyDescent="0.3">
      <c r="H217" s="71"/>
      <c r="L217" s="4"/>
    </row>
    <row r="218" spans="8:12" ht="12.75" customHeight="1" x14ac:dyDescent="0.3">
      <c r="H218" s="71"/>
      <c r="L218" s="4"/>
    </row>
    <row r="219" spans="8:12" ht="12.75" customHeight="1" x14ac:dyDescent="0.3">
      <c r="H219" s="71"/>
      <c r="L219" s="4"/>
    </row>
    <row r="220" spans="8:12" ht="12.75" customHeight="1" x14ac:dyDescent="0.3">
      <c r="H220" s="71"/>
      <c r="L220" s="4"/>
    </row>
    <row r="221" spans="8:12" ht="12.75" customHeight="1" x14ac:dyDescent="0.3">
      <c r="H221" s="71"/>
      <c r="L221" s="4"/>
    </row>
    <row r="222" spans="8:12" ht="12.75" customHeight="1" x14ac:dyDescent="0.3">
      <c r="H222" s="71"/>
      <c r="L222" s="4"/>
    </row>
    <row r="223" spans="8:12" ht="12.75" customHeight="1" x14ac:dyDescent="0.3">
      <c r="H223" s="71"/>
      <c r="L223" s="4"/>
    </row>
    <row r="224" spans="8:12" ht="12.75" customHeight="1" x14ac:dyDescent="0.3">
      <c r="H224" s="71"/>
      <c r="L224" s="4"/>
    </row>
    <row r="225" spans="8:12" ht="12.75" customHeight="1" x14ac:dyDescent="0.3">
      <c r="H225" s="71"/>
      <c r="L225" s="4"/>
    </row>
    <row r="226" spans="8:12" ht="12.75" customHeight="1" x14ac:dyDescent="0.3">
      <c r="H226" s="71"/>
      <c r="L226" s="4"/>
    </row>
    <row r="227" spans="8:12" ht="12.75" customHeight="1" x14ac:dyDescent="0.3">
      <c r="H227" s="71"/>
      <c r="L227" s="4"/>
    </row>
    <row r="228" spans="8:12" ht="12.75" customHeight="1" x14ac:dyDescent="0.3">
      <c r="H228" s="71"/>
      <c r="L228" s="4"/>
    </row>
    <row r="229" spans="8:12" ht="12.75" customHeight="1" x14ac:dyDescent="0.3">
      <c r="H229" s="71"/>
      <c r="L229" s="4"/>
    </row>
    <row r="230" spans="8:12" ht="12.75" customHeight="1" x14ac:dyDescent="0.3">
      <c r="H230" s="71"/>
      <c r="L230" s="4"/>
    </row>
    <row r="231" spans="8:12" ht="12.75" customHeight="1" x14ac:dyDescent="0.3">
      <c r="H231" s="71"/>
      <c r="L231" s="4"/>
    </row>
    <row r="232" spans="8:12" ht="12.75" customHeight="1" x14ac:dyDescent="0.3">
      <c r="H232" s="71"/>
      <c r="L232" s="4"/>
    </row>
    <row r="233" spans="8:12" ht="12.75" customHeight="1" x14ac:dyDescent="0.3">
      <c r="H233" s="71"/>
      <c r="L233" s="4"/>
    </row>
    <row r="234" spans="8:12" ht="12.75" customHeight="1" x14ac:dyDescent="0.3">
      <c r="H234" s="71"/>
      <c r="L234" s="4"/>
    </row>
    <row r="235" spans="8:12" ht="12.75" customHeight="1" x14ac:dyDescent="0.3">
      <c r="H235" s="71"/>
      <c r="L235" s="4"/>
    </row>
    <row r="236" spans="8:12" ht="12.75" customHeight="1" x14ac:dyDescent="0.3">
      <c r="H236" s="71"/>
      <c r="L236" s="4"/>
    </row>
    <row r="237" spans="8:12" ht="12.75" customHeight="1" x14ac:dyDescent="0.3">
      <c r="H237" s="71"/>
      <c r="L237" s="4"/>
    </row>
    <row r="238" spans="8:12" ht="12.75" customHeight="1" x14ac:dyDescent="0.3">
      <c r="H238" s="71"/>
      <c r="L238" s="4"/>
    </row>
    <row r="239" spans="8:12" ht="12.75" customHeight="1" x14ac:dyDescent="0.3">
      <c r="H239" s="71"/>
      <c r="L239" s="4"/>
    </row>
    <row r="240" spans="8:12" ht="12.75" customHeight="1" x14ac:dyDescent="0.3">
      <c r="H240" s="71"/>
      <c r="L240" s="4"/>
    </row>
    <row r="241" spans="8:12" ht="12.75" customHeight="1" x14ac:dyDescent="0.3">
      <c r="H241" s="71"/>
      <c r="L241" s="4"/>
    </row>
    <row r="242" spans="8:12" ht="12.75" customHeight="1" x14ac:dyDescent="0.3">
      <c r="H242" s="71"/>
      <c r="L242" s="4"/>
    </row>
    <row r="243" spans="8:12" ht="12.75" customHeight="1" x14ac:dyDescent="0.3">
      <c r="H243" s="71"/>
      <c r="L243" s="4"/>
    </row>
    <row r="244" spans="8:12" ht="12.75" customHeight="1" x14ac:dyDescent="0.3">
      <c r="H244" s="71"/>
      <c r="L244" s="4"/>
    </row>
    <row r="245" spans="8:12" ht="12.75" customHeight="1" x14ac:dyDescent="0.3">
      <c r="H245" s="71"/>
      <c r="L245" s="4"/>
    </row>
    <row r="246" spans="8:12" ht="12.75" customHeight="1" x14ac:dyDescent="0.3">
      <c r="H246" s="71"/>
      <c r="L246" s="4"/>
    </row>
    <row r="247" spans="8:12" ht="12.75" customHeight="1" x14ac:dyDescent="0.3">
      <c r="H247" s="71"/>
      <c r="L247" s="4"/>
    </row>
    <row r="248" spans="8:12" ht="12.75" customHeight="1" x14ac:dyDescent="0.3">
      <c r="H248" s="71"/>
      <c r="L248" s="4"/>
    </row>
    <row r="249" spans="8:12" ht="12.75" customHeight="1" x14ac:dyDescent="0.3">
      <c r="H249" s="71"/>
      <c r="L249" s="4"/>
    </row>
    <row r="250" spans="8:12" ht="12.75" customHeight="1" x14ac:dyDescent="0.3">
      <c r="H250" s="71"/>
      <c r="L250" s="4"/>
    </row>
    <row r="251" spans="8:12" ht="12.75" customHeight="1" x14ac:dyDescent="0.3">
      <c r="H251" s="71"/>
      <c r="L251" s="4"/>
    </row>
    <row r="252" spans="8:12" ht="12.75" customHeight="1" x14ac:dyDescent="0.3">
      <c r="H252" s="71"/>
      <c r="L252" s="4"/>
    </row>
    <row r="253" spans="8:12" ht="12.75" customHeight="1" x14ac:dyDescent="0.3">
      <c r="H253" s="71"/>
      <c r="L253" s="4"/>
    </row>
    <row r="254" spans="8:12" ht="12.75" customHeight="1" x14ac:dyDescent="0.3">
      <c r="H254" s="71"/>
      <c r="L254" s="4"/>
    </row>
    <row r="255" spans="8:12" ht="12.75" customHeight="1" x14ac:dyDescent="0.3">
      <c r="H255" s="71"/>
      <c r="L255" s="4"/>
    </row>
    <row r="256" spans="8:12" ht="12.75" customHeight="1" x14ac:dyDescent="0.3">
      <c r="H256" s="71"/>
      <c r="L256" s="4"/>
    </row>
    <row r="257" spans="8:12" ht="12.75" customHeight="1" x14ac:dyDescent="0.3">
      <c r="H257" s="71"/>
      <c r="L257" s="4"/>
    </row>
    <row r="258" spans="8:12" ht="12.75" customHeight="1" x14ac:dyDescent="0.3">
      <c r="H258" s="71"/>
      <c r="L258" s="4"/>
    </row>
    <row r="259" spans="8:12" ht="12.75" customHeight="1" x14ac:dyDescent="0.3">
      <c r="H259" s="71"/>
      <c r="L259" s="4"/>
    </row>
    <row r="260" spans="8:12" ht="12.75" customHeight="1" x14ac:dyDescent="0.3">
      <c r="H260" s="71"/>
      <c r="L260" s="4"/>
    </row>
    <row r="261" spans="8:12" ht="12.75" customHeight="1" x14ac:dyDescent="0.3">
      <c r="H261" s="71"/>
      <c r="L261" s="4"/>
    </row>
    <row r="262" spans="8:12" ht="12.75" customHeight="1" x14ac:dyDescent="0.3">
      <c r="H262" s="71"/>
      <c r="L262" s="4"/>
    </row>
    <row r="263" spans="8:12" ht="12.75" customHeight="1" x14ac:dyDescent="0.3">
      <c r="H263" s="71"/>
      <c r="L263" s="4"/>
    </row>
    <row r="264" spans="8:12" ht="12.75" customHeight="1" x14ac:dyDescent="0.3">
      <c r="H264" s="71"/>
      <c r="L264" s="4"/>
    </row>
    <row r="265" spans="8:12" ht="12.75" customHeight="1" x14ac:dyDescent="0.3">
      <c r="H265" s="71"/>
      <c r="L265" s="4"/>
    </row>
    <row r="266" spans="8:12" ht="12.75" customHeight="1" x14ac:dyDescent="0.3">
      <c r="H266" s="71"/>
      <c r="L266" s="4"/>
    </row>
    <row r="267" spans="8:12" ht="12.75" customHeight="1" x14ac:dyDescent="0.3">
      <c r="H267" s="71"/>
      <c r="L267" s="4"/>
    </row>
    <row r="268" spans="8:12" ht="12.75" customHeight="1" x14ac:dyDescent="0.3">
      <c r="H268" s="71"/>
      <c r="L268" s="4"/>
    </row>
    <row r="269" spans="8:12" ht="12.75" customHeight="1" x14ac:dyDescent="0.3">
      <c r="H269" s="71"/>
      <c r="L269" s="4"/>
    </row>
    <row r="270" spans="8:12" ht="12.75" customHeight="1" x14ac:dyDescent="0.3">
      <c r="H270" s="71"/>
      <c r="L270" s="4"/>
    </row>
    <row r="271" spans="8:12" ht="12.75" customHeight="1" x14ac:dyDescent="0.3">
      <c r="H271" s="71"/>
      <c r="L271" s="4"/>
    </row>
    <row r="272" spans="8:12" ht="12.75" customHeight="1" x14ac:dyDescent="0.3">
      <c r="H272" s="71"/>
      <c r="L272" s="4"/>
    </row>
    <row r="273" spans="8:12" ht="12.75" customHeight="1" x14ac:dyDescent="0.3">
      <c r="H273" s="71"/>
      <c r="L273" s="4"/>
    </row>
    <row r="274" spans="8:12" ht="12.75" customHeight="1" x14ac:dyDescent="0.3">
      <c r="H274" s="71"/>
      <c r="L274" s="4"/>
    </row>
    <row r="275" spans="8:12" ht="12.75" customHeight="1" x14ac:dyDescent="0.3">
      <c r="H275" s="71"/>
      <c r="L275" s="4"/>
    </row>
    <row r="276" spans="8:12" ht="12.75" customHeight="1" x14ac:dyDescent="0.3">
      <c r="H276" s="71"/>
      <c r="L276" s="4"/>
    </row>
    <row r="277" spans="8:12" ht="12.75" customHeight="1" x14ac:dyDescent="0.3">
      <c r="H277" s="71"/>
      <c r="L277" s="4"/>
    </row>
    <row r="278" spans="8:12" ht="12.75" customHeight="1" x14ac:dyDescent="0.3">
      <c r="H278" s="71"/>
      <c r="L278" s="4"/>
    </row>
    <row r="279" spans="8:12" ht="12.75" customHeight="1" x14ac:dyDescent="0.3">
      <c r="H279" s="71"/>
      <c r="L279" s="4"/>
    </row>
    <row r="280" spans="8:12" ht="12.75" customHeight="1" x14ac:dyDescent="0.3">
      <c r="H280" s="71"/>
      <c r="L280" s="4"/>
    </row>
    <row r="281" spans="8:12" ht="12.75" customHeight="1" x14ac:dyDescent="0.3">
      <c r="H281" s="71"/>
      <c r="L281" s="4"/>
    </row>
    <row r="282" spans="8:12" ht="12.75" customHeight="1" x14ac:dyDescent="0.3">
      <c r="H282" s="71"/>
      <c r="L282" s="4"/>
    </row>
    <row r="283" spans="8:12" ht="12.75" customHeight="1" x14ac:dyDescent="0.3">
      <c r="H283" s="71"/>
      <c r="L283" s="4"/>
    </row>
    <row r="284" spans="8:12" ht="12.75" customHeight="1" x14ac:dyDescent="0.3">
      <c r="H284" s="71"/>
      <c r="L284" s="4"/>
    </row>
    <row r="285" spans="8:12" ht="12.75" customHeight="1" x14ac:dyDescent="0.3">
      <c r="H285" s="71"/>
      <c r="L285" s="4"/>
    </row>
    <row r="286" spans="8:12" ht="12.75" customHeight="1" x14ac:dyDescent="0.3">
      <c r="H286" s="71"/>
      <c r="L286" s="4"/>
    </row>
    <row r="287" spans="8:12" ht="12.75" customHeight="1" x14ac:dyDescent="0.3">
      <c r="H287" s="71"/>
      <c r="L287" s="4"/>
    </row>
    <row r="288" spans="8:12" ht="12.75" customHeight="1" x14ac:dyDescent="0.3">
      <c r="H288" s="71"/>
      <c r="L288" s="4"/>
    </row>
    <row r="289" spans="8:12" ht="12.75" customHeight="1" x14ac:dyDescent="0.3">
      <c r="H289" s="71"/>
      <c r="L289" s="4"/>
    </row>
    <row r="290" spans="8:12" ht="12.75" customHeight="1" x14ac:dyDescent="0.3">
      <c r="H290" s="71"/>
      <c r="L290" s="4"/>
    </row>
    <row r="291" spans="8:12" ht="12.75" customHeight="1" x14ac:dyDescent="0.3">
      <c r="H291" s="71"/>
      <c r="L291" s="4"/>
    </row>
    <row r="292" spans="8:12" ht="12.75" customHeight="1" x14ac:dyDescent="0.3">
      <c r="H292" s="71"/>
      <c r="L292" s="4"/>
    </row>
    <row r="293" spans="8:12" ht="12.75" customHeight="1" x14ac:dyDescent="0.3">
      <c r="H293" s="71"/>
      <c r="L293" s="4"/>
    </row>
    <row r="294" spans="8:12" ht="12.75" customHeight="1" x14ac:dyDescent="0.3">
      <c r="H294" s="71"/>
      <c r="L294" s="4"/>
    </row>
    <row r="295" spans="8:12" ht="12.75" customHeight="1" x14ac:dyDescent="0.3">
      <c r="H295" s="71"/>
      <c r="L295" s="4"/>
    </row>
    <row r="296" spans="8:12" ht="12.75" customHeight="1" x14ac:dyDescent="0.3">
      <c r="H296" s="71"/>
      <c r="L296" s="4"/>
    </row>
    <row r="297" spans="8:12" ht="12.75" customHeight="1" x14ac:dyDescent="0.3">
      <c r="H297" s="71"/>
      <c r="L297" s="4"/>
    </row>
    <row r="298" spans="8:12" ht="12.75" customHeight="1" x14ac:dyDescent="0.3">
      <c r="H298" s="71"/>
      <c r="L298" s="4"/>
    </row>
    <row r="299" spans="8:12" ht="12.75" customHeight="1" x14ac:dyDescent="0.3">
      <c r="H299" s="71"/>
      <c r="L299" s="4"/>
    </row>
    <row r="300" spans="8:12" ht="12.75" customHeight="1" x14ac:dyDescent="0.3">
      <c r="H300" s="71"/>
      <c r="L300" s="4"/>
    </row>
    <row r="301" spans="8:12" ht="12.75" customHeight="1" x14ac:dyDescent="0.3">
      <c r="H301" s="71"/>
      <c r="L301" s="4"/>
    </row>
    <row r="302" spans="8:12" ht="12.75" customHeight="1" x14ac:dyDescent="0.3">
      <c r="H302" s="71"/>
      <c r="L302" s="4"/>
    </row>
    <row r="303" spans="8:12" ht="12.75" customHeight="1" x14ac:dyDescent="0.3">
      <c r="H303" s="71"/>
      <c r="L303" s="4"/>
    </row>
    <row r="304" spans="8:12" ht="12.75" customHeight="1" x14ac:dyDescent="0.3">
      <c r="H304" s="71"/>
      <c r="L304" s="4"/>
    </row>
    <row r="305" spans="8:12" ht="12.75" customHeight="1" x14ac:dyDescent="0.3">
      <c r="H305" s="71"/>
      <c r="L305" s="4"/>
    </row>
    <row r="306" spans="8:12" ht="12.75" customHeight="1" x14ac:dyDescent="0.3">
      <c r="H306" s="71"/>
      <c r="L306" s="4"/>
    </row>
    <row r="307" spans="8:12" ht="12.75" customHeight="1" x14ac:dyDescent="0.3">
      <c r="H307" s="71"/>
      <c r="L307" s="4"/>
    </row>
    <row r="308" spans="8:12" ht="12.75" customHeight="1" x14ac:dyDescent="0.3">
      <c r="H308" s="71"/>
      <c r="L308" s="4"/>
    </row>
    <row r="309" spans="8:12" ht="12.75" customHeight="1" x14ac:dyDescent="0.3">
      <c r="H309" s="71"/>
      <c r="L309" s="4"/>
    </row>
    <row r="310" spans="8:12" ht="12.75" customHeight="1" x14ac:dyDescent="0.3">
      <c r="H310" s="71"/>
      <c r="L310" s="4"/>
    </row>
    <row r="311" spans="8:12" ht="12.75" customHeight="1" x14ac:dyDescent="0.3">
      <c r="H311" s="71"/>
      <c r="L311" s="4"/>
    </row>
    <row r="312" spans="8:12" ht="12.75" customHeight="1" x14ac:dyDescent="0.3">
      <c r="H312" s="71"/>
      <c r="L312" s="4"/>
    </row>
    <row r="313" spans="8:12" ht="12.75" customHeight="1" x14ac:dyDescent="0.3">
      <c r="H313" s="71"/>
      <c r="L313" s="4"/>
    </row>
    <row r="314" spans="8:12" ht="12.75" customHeight="1" x14ac:dyDescent="0.3">
      <c r="H314" s="71"/>
      <c r="L314" s="4"/>
    </row>
    <row r="315" spans="8:12" ht="12.75" customHeight="1" x14ac:dyDescent="0.3">
      <c r="H315" s="71"/>
      <c r="L315" s="4"/>
    </row>
    <row r="316" spans="8:12" ht="12.75" customHeight="1" x14ac:dyDescent="0.3">
      <c r="H316" s="71"/>
      <c r="L316" s="4"/>
    </row>
    <row r="317" spans="8:12" ht="12.75" customHeight="1" x14ac:dyDescent="0.3">
      <c r="H317" s="71"/>
      <c r="L317" s="4"/>
    </row>
    <row r="318" spans="8:12" ht="12.75" customHeight="1" x14ac:dyDescent="0.3">
      <c r="H318" s="71"/>
      <c r="L318" s="4"/>
    </row>
    <row r="319" spans="8:12" ht="12.75" customHeight="1" x14ac:dyDescent="0.3">
      <c r="H319" s="71"/>
      <c r="L319" s="4"/>
    </row>
    <row r="320" spans="8:12" ht="12.75" customHeight="1" x14ac:dyDescent="0.3">
      <c r="H320" s="71"/>
      <c r="L320" s="4"/>
    </row>
    <row r="321" spans="8:12" ht="12.75" customHeight="1" x14ac:dyDescent="0.3">
      <c r="H321" s="71"/>
      <c r="L321" s="4"/>
    </row>
    <row r="322" spans="8:12" ht="12.75" customHeight="1" x14ac:dyDescent="0.3">
      <c r="H322" s="71"/>
      <c r="L322" s="4"/>
    </row>
    <row r="323" spans="8:12" ht="12.75" customHeight="1" x14ac:dyDescent="0.3">
      <c r="H323" s="71"/>
      <c r="L323" s="4"/>
    </row>
    <row r="324" spans="8:12" ht="12.75" customHeight="1" x14ac:dyDescent="0.3">
      <c r="H324" s="71"/>
      <c r="L324" s="4"/>
    </row>
    <row r="325" spans="8:12" ht="12.75" customHeight="1" x14ac:dyDescent="0.3">
      <c r="H325" s="71"/>
      <c r="L325" s="4"/>
    </row>
    <row r="326" spans="8:12" ht="12.75" customHeight="1" x14ac:dyDescent="0.3">
      <c r="H326" s="71"/>
      <c r="L326" s="4"/>
    </row>
    <row r="327" spans="8:12" ht="12.75" customHeight="1" x14ac:dyDescent="0.3">
      <c r="H327" s="71"/>
      <c r="L327" s="4"/>
    </row>
    <row r="328" spans="8:12" ht="12.75" customHeight="1" x14ac:dyDescent="0.3">
      <c r="H328" s="71"/>
      <c r="L328" s="4"/>
    </row>
    <row r="329" spans="8:12" ht="12.75" customHeight="1" x14ac:dyDescent="0.3">
      <c r="H329" s="71"/>
      <c r="L329" s="4"/>
    </row>
    <row r="330" spans="8:12" ht="12.75" customHeight="1" x14ac:dyDescent="0.3">
      <c r="H330" s="71"/>
      <c r="L330" s="4"/>
    </row>
    <row r="331" spans="8:12" ht="12.75" customHeight="1" x14ac:dyDescent="0.3">
      <c r="H331" s="71"/>
      <c r="L331" s="4"/>
    </row>
    <row r="332" spans="8:12" ht="12.75" customHeight="1" x14ac:dyDescent="0.3">
      <c r="H332" s="71"/>
      <c r="L332" s="4"/>
    </row>
    <row r="333" spans="8:12" ht="12.75" customHeight="1" x14ac:dyDescent="0.3">
      <c r="H333" s="71"/>
      <c r="L333" s="4"/>
    </row>
    <row r="334" spans="8:12" ht="12.75" customHeight="1" x14ac:dyDescent="0.3">
      <c r="H334" s="71"/>
      <c r="L334" s="4"/>
    </row>
    <row r="335" spans="8:12" ht="12.75" customHeight="1" x14ac:dyDescent="0.3">
      <c r="H335" s="71"/>
      <c r="L335" s="4"/>
    </row>
    <row r="336" spans="8:12" ht="12.75" customHeight="1" x14ac:dyDescent="0.3">
      <c r="H336" s="71"/>
      <c r="L336" s="4"/>
    </row>
    <row r="337" spans="8:12" ht="12.75" customHeight="1" x14ac:dyDescent="0.3">
      <c r="H337" s="71"/>
      <c r="L337" s="4"/>
    </row>
    <row r="338" spans="8:12" ht="12.75" customHeight="1" x14ac:dyDescent="0.3">
      <c r="H338" s="71"/>
      <c r="L338" s="4"/>
    </row>
    <row r="339" spans="8:12" ht="12.75" customHeight="1" x14ac:dyDescent="0.3">
      <c r="H339" s="71"/>
      <c r="L339" s="4"/>
    </row>
    <row r="340" spans="8:12" ht="12.75" customHeight="1" x14ac:dyDescent="0.3">
      <c r="H340" s="71"/>
      <c r="L340" s="4"/>
    </row>
    <row r="341" spans="8:12" ht="12.75" customHeight="1" x14ac:dyDescent="0.3">
      <c r="H341" s="71"/>
      <c r="L341" s="4"/>
    </row>
    <row r="342" spans="8:12" ht="12.75" customHeight="1" x14ac:dyDescent="0.3">
      <c r="H342" s="71"/>
      <c r="L342" s="4"/>
    </row>
    <row r="343" spans="8:12" ht="12.75" customHeight="1" x14ac:dyDescent="0.3">
      <c r="H343" s="71"/>
      <c r="L343" s="4"/>
    </row>
    <row r="344" spans="8:12" ht="12.75" customHeight="1" x14ac:dyDescent="0.3">
      <c r="H344" s="71"/>
      <c r="L344" s="4"/>
    </row>
    <row r="345" spans="8:12" ht="12.75" customHeight="1" x14ac:dyDescent="0.3">
      <c r="H345" s="71"/>
      <c r="L345" s="4"/>
    </row>
    <row r="346" spans="8:12" ht="12.75" customHeight="1" x14ac:dyDescent="0.3">
      <c r="H346" s="71"/>
      <c r="L346" s="4"/>
    </row>
    <row r="347" spans="8:12" ht="12.75" customHeight="1" x14ac:dyDescent="0.3">
      <c r="H347" s="71"/>
      <c r="L347" s="4"/>
    </row>
    <row r="348" spans="8:12" ht="12.75" customHeight="1" x14ac:dyDescent="0.3">
      <c r="H348" s="71"/>
      <c r="L348" s="4"/>
    </row>
    <row r="349" spans="8:12" ht="12.75" customHeight="1" x14ac:dyDescent="0.3">
      <c r="H349" s="71"/>
      <c r="L349" s="4"/>
    </row>
    <row r="350" spans="8:12" ht="15.75" customHeight="1" x14ac:dyDescent="0.3">
      <c r="H350" s="71"/>
      <c r="L350" s="4"/>
    </row>
    <row r="351" spans="8:12" ht="15.75" customHeight="1" x14ac:dyDescent="0.3">
      <c r="H351" s="71"/>
      <c r="L351" s="4"/>
    </row>
    <row r="352" spans="8:12" ht="15.75" customHeight="1" x14ac:dyDescent="0.3">
      <c r="H352" s="71"/>
      <c r="L352" s="4"/>
    </row>
    <row r="353" spans="8:8" ht="15.75" customHeight="1" x14ac:dyDescent="0.3">
      <c r="H353" s="71"/>
    </row>
    <row r="354" spans="8:8" ht="15.75" customHeight="1" x14ac:dyDescent="0.3">
      <c r="H354" s="71"/>
    </row>
    <row r="355" spans="8:8" ht="15.75" customHeight="1" x14ac:dyDescent="0.3">
      <c r="H355" s="71"/>
    </row>
    <row r="356" spans="8:8" ht="15.75" customHeight="1" x14ac:dyDescent="0.3">
      <c r="H356" s="71"/>
    </row>
    <row r="357" spans="8:8" ht="15.75" customHeight="1" x14ac:dyDescent="0.3">
      <c r="H357" s="71"/>
    </row>
    <row r="358" spans="8:8" ht="15.75" customHeight="1" x14ac:dyDescent="0.3">
      <c r="H358" s="71"/>
    </row>
    <row r="359" spans="8:8" ht="15.75" customHeight="1" x14ac:dyDescent="0.3">
      <c r="H359" s="71"/>
    </row>
    <row r="360" spans="8:8" ht="15.75" customHeight="1" x14ac:dyDescent="0.3">
      <c r="H360" s="71"/>
    </row>
    <row r="361" spans="8:8" ht="15.75" customHeight="1" x14ac:dyDescent="0.3">
      <c r="H361" s="71"/>
    </row>
    <row r="362" spans="8:8" ht="15.75" customHeight="1" x14ac:dyDescent="0.3">
      <c r="H362" s="71"/>
    </row>
    <row r="363" spans="8:8" ht="15.75" customHeight="1" x14ac:dyDescent="0.3">
      <c r="H363" s="71"/>
    </row>
    <row r="364" spans="8:8" ht="15.75" customHeight="1" x14ac:dyDescent="0.3">
      <c r="H364" s="71"/>
    </row>
    <row r="365" spans="8:8" ht="15.75" customHeight="1" x14ac:dyDescent="0.3">
      <c r="H365" s="71"/>
    </row>
    <row r="366" spans="8:8" ht="15.75" customHeight="1" x14ac:dyDescent="0.3">
      <c r="H366" s="71"/>
    </row>
    <row r="367" spans="8:8" ht="15.75" customHeight="1" x14ac:dyDescent="0.3">
      <c r="H367" s="71"/>
    </row>
    <row r="368" spans="8:8" ht="15.75" customHeight="1" x14ac:dyDescent="0.3">
      <c r="H368" s="71"/>
    </row>
    <row r="369" spans="8:8" ht="15.75" customHeight="1" x14ac:dyDescent="0.3">
      <c r="H369" s="71"/>
    </row>
    <row r="370" spans="8:8" ht="15.75" customHeight="1" x14ac:dyDescent="0.3">
      <c r="H370" s="71"/>
    </row>
    <row r="371" spans="8:8" ht="15.75" customHeight="1" x14ac:dyDescent="0.3">
      <c r="H371" s="71"/>
    </row>
    <row r="372" spans="8:8" ht="15.75" customHeight="1" x14ac:dyDescent="0.3">
      <c r="H372" s="71"/>
    </row>
    <row r="373" spans="8:8" ht="15.75" customHeight="1" x14ac:dyDescent="0.3">
      <c r="H373" s="71"/>
    </row>
    <row r="374" spans="8:8" ht="15.75" customHeight="1" x14ac:dyDescent="0.3">
      <c r="H374" s="71"/>
    </row>
    <row r="375" spans="8:8" ht="15.75" customHeight="1" x14ac:dyDescent="0.3">
      <c r="H375" s="71"/>
    </row>
    <row r="376" spans="8:8" ht="15.75" customHeight="1" x14ac:dyDescent="0.3">
      <c r="H376" s="71"/>
    </row>
    <row r="377" spans="8:8" ht="15.75" customHeight="1" x14ac:dyDescent="0.3">
      <c r="H377" s="71"/>
    </row>
    <row r="378" spans="8:8" ht="15.75" customHeight="1" x14ac:dyDescent="0.3">
      <c r="H378" s="71"/>
    </row>
    <row r="379" spans="8:8" ht="15.75" customHeight="1" x14ac:dyDescent="0.3">
      <c r="H379" s="71"/>
    </row>
    <row r="380" spans="8:8" ht="15.75" customHeight="1" x14ac:dyDescent="0.3">
      <c r="H380" s="71"/>
    </row>
    <row r="381" spans="8:8" ht="15.75" customHeight="1" x14ac:dyDescent="0.3">
      <c r="H381" s="71"/>
    </row>
    <row r="382" spans="8:8" ht="15.75" customHeight="1" x14ac:dyDescent="0.3">
      <c r="H382" s="71"/>
    </row>
    <row r="383" spans="8:8" ht="15.75" customHeight="1" x14ac:dyDescent="0.3">
      <c r="H383" s="71"/>
    </row>
    <row r="384" spans="8:8" ht="15.75" customHeight="1" x14ac:dyDescent="0.3">
      <c r="H384" s="71"/>
    </row>
    <row r="385" spans="8:8" ht="15.75" customHeight="1" x14ac:dyDescent="0.3">
      <c r="H385" s="71"/>
    </row>
    <row r="386" spans="8:8" ht="15.75" customHeight="1" x14ac:dyDescent="0.3">
      <c r="H386" s="71"/>
    </row>
    <row r="387" spans="8:8" ht="15.75" customHeight="1" x14ac:dyDescent="0.3">
      <c r="H387" s="71"/>
    </row>
    <row r="388" spans="8:8" ht="15.75" customHeight="1" x14ac:dyDescent="0.3">
      <c r="H388" s="71"/>
    </row>
    <row r="389" spans="8:8" ht="15.75" customHeight="1" x14ac:dyDescent="0.3">
      <c r="H389" s="71"/>
    </row>
    <row r="390" spans="8:8" ht="15.75" customHeight="1" x14ac:dyDescent="0.3">
      <c r="H390" s="71"/>
    </row>
    <row r="391" spans="8:8" ht="15.75" customHeight="1" x14ac:dyDescent="0.3">
      <c r="H391" s="71"/>
    </row>
    <row r="392" spans="8:8" ht="15.75" customHeight="1" x14ac:dyDescent="0.3">
      <c r="H392" s="71"/>
    </row>
    <row r="393" spans="8:8" ht="15.75" customHeight="1" x14ac:dyDescent="0.3">
      <c r="H393" s="71"/>
    </row>
    <row r="394" spans="8:8" ht="15.75" customHeight="1" x14ac:dyDescent="0.3">
      <c r="H394" s="71"/>
    </row>
    <row r="395" spans="8:8" ht="15.75" customHeight="1" x14ac:dyDescent="0.3">
      <c r="H395" s="71"/>
    </row>
    <row r="396" spans="8:8" ht="15.75" customHeight="1" x14ac:dyDescent="0.3">
      <c r="H396" s="71"/>
    </row>
    <row r="397" spans="8:8" ht="15.75" customHeight="1" x14ac:dyDescent="0.3">
      <c r="H397" s="71"/>
    </row>
    <row r="398" spans="8:8" ht="15.75" customHeight="1" x14ac:dyDescent="0.3">
      <c r="H398" s="71"/>
    </row>
    <row r="399" spans="8:8" ht="15.75" customHeight="1" x14ac:dyDescent="0.3">
      <c r="H399" s="71"/>
    </row>
    <row r="400" spans="8:8" ht="15.75" customHeight="1" x14ac:dyDescent="0.3">
      <c r="H400" s="71"/>
    </row>
    <row r="401" spans="8:8" ht="15.75" customHeight="1" x14ac:dyDescent="0.3">
      <c r="H401" s="71"/>
    </row>
    <row r="402" spans="8:8" ht="15.75" customHeight="1" x14ac:dyDescent="0.3">
      <c r="H402" s="71"/>
    </row>
    <row r="403" spans="8:8" ht="15.75" customHeight="1" x14ac:dyDescent="0.3">
      <c r="H403" s="71"/>
    </row>
    <row r="404" spans="8:8" ht="15.75" customHeight="1" x14ac:dyDescent="0.3">
      <c r="H404" s="71"/>
    </row>
    <row r="405" spans="8:8" ht="15.75" customHeight="1" x14ac:dyDescent="0.3">
      <c r="H405" s="71"/>
    </row>
    <row r="406" spans="8:8" ht="15.75" customHeight="1" x14ac:dyDescent="0.3">
      <c r="H406" s="71"/>
    </row>
    <row r="407" spans="8:8" ht="15.75" customHeight="1" x14ac:dyDescent="0.3">
      <c r="H407" s="71"/>
    </row>
    <row r="408" spans="8:8" ht="15.75" customHeight="1" x14ac:dyDescent="0.3">
      <c r="H408" s="71"/>
    </row>
    <row r="409" spans="8:8" ht="15.75" customHeight="1" x14ac:dyDescent="0.3">
      <c r="H409" s="71"/>
    </row>
    <row r="410" spans="8:8" ht="15.75" customHeight="1" x14ac:dyDescent="0.3">
      <c r="H410" s="71"/>
    </row>
    <row r="411" spans="8:8" ht="15.75" customHeight="1" x14ac:dyDescent="0.3">
      <c r="H411" s="71"/>
    </row>
    <row r="412" spans="8:8" ht="15.75" customHeight="1" x14ac:dyDescent="0.3">
      <c r="H412" s="71"/>
    </row>
    <row r="413" spans="8:8" ht="15.75" customHeight="1" x14ac:dyDescent="0.3">
      <c r="H413" s="71"/>
    </row>
    <row r="414" spans="8:8" ht="15.75" customHeight="1" x14ac:dyDescent="0.3">
      <c r="H414" s="71"/>
    </row>
    <row r="415" spans="8:8" ht="15.75" customHeight="1" x14ac:dyDescent="0.3">
      <c r="H415" s="71"/>
    </row>
    <row r="416" spans="8:8" ht="15.75" customHeight="1" x14ac:dyDescent="0.3">
      <c r="H416" s="71"/>
    </row>
    <row r="417" spans="8:8" ht="15.75" customHeight="1" x14ac:dyDescent="0.3">
      <c r="H417" s="71"/>
    </row>
    <row r="418" spans="8:8" ht="15.75" customHeight="1" x14ac:dyDescent="0.3">
      <c r="H418" s="71"/>
    </row>
    <row r="419" spans="8:8" ht="15.75" customHeight="1" x14ac:dyDescent="0.3">
      <c r="H419" s="71"/>
    </row>
    <row r="420" spans="8:8" ht="15.75" customHeight="1" x14ac:dyDescent="0.3">
      <c r="H420" s="71"/>
    </row>
    <row r="421" spans="8:8" ht="15.75" customHeight="1" x14ac:dyDescent="0.3">
      <c r="H421" s="71"/>
    </row>
    <row r="422" spans="8:8" ht="15.75" customHeight="1" x14ac:dyDescent="0.3">
      <c r="H422" s="71"/>
    </row>
    <row r="423" spans="8:8" ht="15.75" customHeight="1" x14ac:dyDescent="0.3">
      <c r="H423" s="71"/>
    </row>
    <row r="424" spans="8:8" ht="15.75" customHeight="1" x14ac:dyDescent="0.3">
      <c r="H424" s="71"/>
    </row>
    <row r="425" spans="8:8" ht="15.75" customHeight="1" x14ac:dyDescent="0.3">
      <c r="H425" s="71"/>
    </row>
    <row r="426" spans="8:8" ht="15.75" customHeight="1" x14ac:dyDescent="0.3">
      <c r="H426" s="71"/>
    </row>
    <row r="427" spans="8:8" ht="15.75" customHeight="1" x14ac:dyDescent="0.3">
      <c r="H427" s="71"/>
    </row>
    <row r="428" spans="8:8" ht="15.75" customHeight="1" x14ac:dyDescent="0.3">
      <c r="H428" s="71"/>
    </row>
    <row r="429" spans="8:8" ht="15.75" customHeight="1" x14ac:dyDescent="0.3">
      <c r="H429" s="71"/>
    </row>
    <row r="430" spans="8:8" ht="15.75" customHeight="1" x14ac:dyDescent="0.3">
      <c r="H430" s="71"/>
    </row>
    <row r="431" spans="8:8" ht="15.75" customHeight="1" x14ac:dyDescent="0.3">
      <c r="H431" s="71"/>
    </row>
    <row r="432" spans="8:8" ht="15.75" customHeight="1" x14ac:dyDescent="0.3">
      <c r="H432" s="71"/>
    </row>
    <row r="433" spans="8:8" ht="15.75" customHeight="1" x14ac:dyDescent="0.3">
      <c r="H433" s="71"/>
    </row>
    <row r="434" spans="8:8" ht="15.75" customHeight="1" x14ac:dyDescent="0.3">
      <c r="H434" s="71"/>
    </row>
    <row r="435" spans="8:8" ht="15.75" customHeight="1" x14ac:dyDescent="0.3">
      <c r="H435" s="71"/>
    </row>
    <row r="436" spans="8:8" ht="15.75" customHeight="1" x14ac:dyDescent="0.3">
      <c r="H436" s="71"/>
    </row>
    <row r="437" spans="8:8" ht="15.75" customHeight="1" x14ac:dyDescent="0.3">
      <c r="H437" s="71"/>
    </row>
    <row r="438" spans="8:8" ht="15.75" customHeight="1" x14ac:dyDescent="0.3">
      <c r="H438" s="71"/>
    </row>
    <row r="439" spans="8:8" ht="15.75" customHeight="1" x14ac:dyDescent="0.3">
      <c r="H439" s="71"/>
    </row>
    <row r="440" spans="8:8" ht="15.75" customHeight="1" x14ac:dyDescent="0.3">
      <c r="H440" s="71"/>
    </row>
    <row r="441" spans="8:8" ht="15.75" customHeight="1" x14ac:dyDescent="0.3">
      <c r="H441" s="71"/>
    </row>
    <row r="442" spans="8:8" ht="15.75" customHeight="1" x14ac:dyDescent="0.3">
      <c r="H442" s="71"/>
    </row>
    <row r="443" spans="8:8" ht="15.75" customHeight="1" x14ac:dyDescent="0.3">
      <c r="H443" s="71"/>
    </row>
    <row r="444" spans="8:8" ht="15.75" customHeight="1" x14ac:dyDescent="0.3">
      <c r="H444" s="71"/>
    </row>
    <row r="445" spans="8:8" ht="15.75" customHeight="1" x14ac:dyDescent="0.3">
      <c r="H445" s="71"/>
    </row>
    <row r="446" spans="8:8" ht="15.75" customHeight="1" x14ac:dyDescent="0.3">
      <c r="H446" s="71"/>
    </row>
    <row r="447" spans="8:8" ht="15.75" customHeight="1" x14ac:dyDescent="0.3">
      <c r="H447" s="71"/>
    </row>
    <row r="448" spans="8:8" ht="15.75" customHeight="1" x14ac:dyDescent="0.3">
      <c r="H448" s="71"/>
    </row>
    <row r="449" spans="8:8" ht="15.75" customHeight="1" x14ac:dyDescent="0.3">
      <c r="H449" s="71"/>
    </row>
    <row r="450" spans="8:8" ht="15.75" customHeight="1" x14ac:dyDescent="0.3">
      <c r="H450" s="71"/>
    </row>
    <row r="451" spans="8:8" ht="15.75" customHeight="1" x14ac:dyDescent="0.3">
      <c r="H451" s="71"/>
    </row>
    <row r="452" spans="8:8" ht="15.75" customHeight="1" x14ac:dyDescent="0.3">
      <c r="H452" s="71"/>
    </row>
    <row r="453" spans="8:8" ht="15.75" customHeight="1" x14ac:dyDescent="0.3">
      <c r="H453" s="71"/>
    </row>
    <row r="454" spans="8:8" ht="15.75" customHeight="1" x14ac:dyDescent="0.3">
      <c r="H454" s="71"/>
    </row>
    <row r="455" spans="8:8" ht="15.75" customHeight="1" x14ac:dyDescent="0.3">
      <c r="H455" s="71"/>
    </row>
    <row r="456" spans="8:8" ht="15.75" customHeight="1" x14ac:dyDescent="0.3">
      <c r="H456" s="71"/>
    </row>
    <row r="457" spans="8:8" ht="15.75" customHeight="1" x14ac:dyDescent="0.3">
      <c r="H457" s="71"/>
    </row>
    <row r="458" spans="8:8" ht="15.75" customHeight="1" x14ac:dyDescent="0.3">
      <c r="H458" s="71"/>
    </row>
    <row r="459" spans="8:8" ht="15.75" customHeight="1" x14ac:dyDescent="0.3">
      <c r="H459" s="71"/>
    </row>
    <row r="460" spans="8:8" ht="15.75" customHeight="1" x14ac:dyDescent="0.3">
      <c r="H460" s="71"/>
    </row>
    <row r="461" spans="8:8" ht="15.75" customHeight="1" x14ac:dyDescent="0.3">
      <c r="H461" s="71"/>
    </row>
    <row r="462" spans="8:8" ht="15.75" customHeight="1" x14ac:dyDescent="0.3">
      <c r="H462" s="71"/>
    </row>
    <row r="463" spans="8:8" ht="15.75" customHeight="1" x14ac:dyDescent="0.3">
      <c r="H463" s="71"/>
    </row>
    <row r="464" spans="8:8" ht="15.75" customHeight="1" x14ac:dyDescent="0.3">
      <c r="H464" s="71"/>
    </row>
    <row r="465" spans="8:8" ht="15.75" customHeight="1" x14ac:dyDescent="0.3">
      <c r="H465" s="71"/>
    </row>
    <row r="466" spans="8:8" ht="15.75" customHeight="1" x14ac:dyDescent="0.3">
      <c r="H466" s="71"/>
    </row>
    <row r="467" spans="8:8" ht="15.75" customHeight="1" x14ac:dyDescent="0.3">
      <c r="H467" s="71"/>
    </row>
    <row r="468" spans="8:8" ht="15.75" customHeight="1" x14ac:dyDescent="0.3">
      <c r="H468" s="71"/>
    </row>
    <row r="469" spans="8:8" ht="15.75" customHeight="1" x14ac:dyDescent="0.3">
      <c r="H469" s="71"/>
    </row>
    <row r="470" spans="8:8" ht="15.75" customHeight="1" x14ac:dyDescent="0.3">
      <c r="H470" s="71"/>
    </row>
    <row r="471" spans="8:8" ht="15.75" customHeight="1" x14ac:dyDescent="0.3">
      <c r="H471" s="71"/>
    </row>
    <row r="472" spans="8:8" ht="15.75" customHeight="1" x14ac:dyDescent="0.3">
      <c r="H472" s="71"/>
    </row>
    <row r="473" spans="8:8" ht="15.75" customHeight="1" x14ac:dyDescent="0.3">
      <c r="H473" s="71"/>
    </row>
    <row r="474" spans="8:8" ht="15.75" customHeight="1" x14ac:dyDescent="0.3">
      <c r="H474" s="71"/>
    </row>
    <row r="475" spans="8:8" ht="15.75" customHeight="1" x14ac:dyDescent="0.3">
      <c r="H475" s="71"/>
    </row>
    <row r="476" spans="8:8" ht="15.75" customHeight="1" x14ac:dyDescent="0.3">
      <c r="H476" s="71"/>
    </row>
    <row r="477" spans="8:8" ht="15.75" customHeight="1" x14ac:dyDescent="0.3">
      <c r="H477" s="71"/>
    </row>
    <row r="478" spans="8:8" ht="15.75" customHeight="1" x14ac:dyDescent="0.3">
      <c r="H478" s="71"/>
    </row>
    <row r="479" spans="8:8" ht="15.75" customHeight="1" x14ac:dyDescent="0.3">
      <c r="H479" s="71"/>
    </row>
    <row r="480" spans="8:8" ht="15.75" customHeight="1" x14ac:dyDescent="0.3">
      <c r="H480" s="71"/>
    </row>
    <row r="481" spans="8:8" ht="15.75" customHeight="1" x14ac:dyDescent="0.3">
      <c r="H481" s="71"/>
    </row>
    <row r="482" spans="8:8" ht="15.75" customHeight="1" x14ac:dyDescent="0.3">
      <c r="H482" s="71"/>
    </row>
    <row r="483" spans="8:8" ht="15.75" customHeight="1" x14ac:dyDescent="0.3">
      <c r="H483" s="71"/>
    </row>
    <row r="484" spans="8:8" ht="15.75" customHeight="1" x14ac:dyDescent="0.3">
      <c r="H484" s="71"/>
    </row>
    <row r="485" spans="8:8" ht="15.75" customHeight="1" x14ac:dyDescent="0.3">
      <c r="H485" s="71"/>
    </row>
    <row r="486" spans="8:8" ht="15.75" customHeight="1" x14ac:dyDescent="0.3">
      <c r="H486" s="71"/>
    </row>
    <row r="487" spans="8:8" ht="15.75" customHeight="1" x14ac:dyDescent="0.3">
      <c r="H487" s="71"/>
    </row>
    <row r="488" spans="8:8" ht="15.75" customHeight="1" x14ac:dyDescent="0.3">
      <c r="H488" s="71"/>
    </row>
    <row r="489" spans="8:8" ht="15.75" customHeight="1" x14ac:dyDescent="0.3">
      <c r="H489" s="71"/>
    </row>
    <row r="490" spans="8:8" ht="15.75" customHeight="1" x14ac:dyDescent="0.3">
      <c r="H490" s="71"/>
    </row>
    <row r="491" spans="8:8" ht="15.75" customHeight="1" x14ac:dyDescent="0.3">
      <c r="H491" s="71"/>
    </row>
    <row r="492" spans="8:8" ht="15.75" customHeight="1" x14ac:dyDescent="0.3">
      <c r="H492" s="71"/>
    </row>
    <row r="493" spans="8:8" ht="15.75" customHeight="1" x14ac:dyDescent="0.3">
      <c r="H493" s="71"/>
    </row>
    <row r="494" spans="8:8" ht="15.75" customHeight="1" x14ac:dyDescent="0.3">
      <c r="H494" s="71"/>
    </row>
    <row r="495" spans="8:8" ht="15.75" customHeight="1" x14ac:dyDescent="0.3">
      <c r="H495" s="71"/>
    </row>
    <row r="496" spans="8:8" ht="15.75" customHeight="1" x14ac:dyDescent="0.3">
      <c r="H496" s="71"/>
    </row>
    <row r="497" spans="8:8" ht="15.75" customHeight="1" x14ac:dyDescent="0.3">
      <c r="H497" s="71"/>
    </row>
    <row r="498" spans="8:8" ht="15.75" customHeight="1" x14ac:dyDescent="0.3">
      <c r="H498" s="71"/>
    </row>
    <row r="499" spans="8:8" ht="15.75" customHeight="1" x14ac:dyDescent="0.3">
      <c r="H499" s="71"/>
    </row>
    <row r="500" spans="8:8" ht="15.75" customHeight="1" x14ac:dyDescent="0.3">
      <c r="H500" s="71"/>
    </row>
    <row r="501" spans="8:8" ht="15.75" customHeight="1" x14ac:dyDescent="0.3">
      <c r="H501" s="71"/>
    </row>
    <row r="502" spans="8:8" ht="15.75" customHeight="1" x14ac:dyDescent="0.3">
      <c r="H502" s="71"/>
    </row>
    <row r="503" spans="8:8" ht="15.75" customHeight="1" x14ac:dyDescent="0.3">
      <c r="H503" s="71"/>
    </row>
    <row r="504" spans="8:8" ht="15.75" customHeight="1" x14ac:dyDescent="0.3">
      <c r="H504" s="71"/>
    </row>
    <row r="505" spans="8:8" ht="15.75" customHeight="1" x14ac:dyDescent="0.3">
      <c r="H505" s="71"/>
    </row>
    <row r="506" spans="8:8" ht="15.75" customHeight="1" x14ac:dyDescent="0.3">
      <c r="H506" s="71"/>
    </row>
    <row r="507" spans="8:8" ht="15.75" customHeight="1" x14ac:dyDescent="0.3">
      <c r="H507" s="71"/>
    </row>
    <row r="508" spans="8:8" ht="15.75" customHeight="1" x14ac:dyDescent="0.3">
      <c r="H508" s="71"/>
    </row>
    <row r="509" spans="8:8" ht="15.75" customHeight="1" x14ac:dyDescent="0.3">
      <c r="H509" s="71"/>
    </row>
    <row r="510" spans="8:8" ht="15.75" customHeight="1" x14ac:dyDescent="0.3">
      <c r="H510" s="71"/>
    </row>
    <row r="511" spans="8:8" ht="15.75" customHeight="1" x14ac:dyDescent="0.3">
      <c r="H511" s="71"/>
    </row>
    <row r="512" spans="8:8" ht="15.75" customHeight="1" x14ac:dyDescent="0.3">
      <c r="H512" s="71"/>
    </row>
    <row r="513" spans="8:8" ht="15.75" customHeight="1" x14ac:dyDescent="0.3">
      <c r="H513" s="71"/>
    </row>
    <row r="514" spans="8:8" ht="15.75" customHeight="1" x14ac:dyDescent="0.3">
      <c r="H514" s="71"/>
    </row>
    <row r="515" spans="8:8" ht="15.75" customHeight="1" x14ac:dyDescent="0.3">
      <c r="H515" s="71"/>
    </row>
    <row r="516" spans="8:8" ht="15.75" customHeight="1" x14ac:dyDescent="0.3">
      <c r="H516" s="71"/>
    </row>
    <row r="517" spans="8:8" ht="15.75" customHeight="1" x14ac:dyDescent="0.3">
      <c r="H517" s="71"/>
    </row>
    <row r="518" spans="8:8" ht="15.75" customHeight="1" x14ac:dyDescent="0.3">
      <c r="H518" s="71"/>
    </row>
    <row r="519" spans="8:8" ht="15.75" customHeight="1" x14ac:dyDescent="0.3">
      <c r="H519" s="71"/>
    </row>
    <row r="520" spans="8:8" ht="15.75" customHeight="1" x14ac:dyDescent="0.3">
      <c r="H520" s="71"/>
    </row>
    <row r="521" spans="8:8" ht="15.75" customHeight="1" x14ac:dyDescent="0.3">
      <c r="H521" s="71"/>
    </row>
    <row r="522" spans="8:8" ht="15.75" customHeight="1" x14ac:dyDescent="0.3">
      <c r="H522" s="71"/>
    </row>
    <row r="523" spans="8:8" ht="15.75" customHeight="1" x14ac:dyDescent="0.3">
      <c r="H523" s="71"/>
    </row>
    <row r="524" spans="8:8" ht="15.75" customHeight="1" x14ac:dyDescent="0.3">
      <c r="H524" s="71"/>
    </row>
    <row r="525" spans="8:8" ht="15.75" customHeight="1" x14ac:dyDescent="0.3">
      <c r="H525" s="71"/>
    </row>
    <row r="526" spans="8:8" ht="15.75" customHeight="1" x14ac:dyDescent="0.3">
      <c r="H526" s="71"/>
    </row>
    <row r="527" spans="8:8" ht="15.75" customHeight="1" x14ac:dyDescent="0.3">
      <c r="H527" s="71"/>
    </row>
    <row r="528" spans="8:8" ht="15.75" customHeight="1" x14ac:dyDescent="0.3">
      <c r="H528" s="71"/>
    </row>
    <row r="529" spans="8:8" ht="15.75" customHeight="1" x14ac:dyDescent="0.3">
      <c r="H529" s="71"/>
    </row>
    <row r="530" spans="8:8" ht="15.75" customHeight="1" x14ac:dyDescent="0.3">
      <c r="H530" s="71"/>
    </row>
    <row r="531" spans="8:8" ht="15.75" customHeight="1" x14ac:dyDescent="0.3">
      <c r="H531" s="71"/>
    </row>
    <row r="532" spans="8:8" ht="15.75" customHeight="1" x14ac:dyDescent="0.3">
      <c r="H532" s="71"/>
    </row>
    <row r="533" spans="8:8" ht="15.75" customHeight="1" x14ac:dyDescent="0.3">
      <c r="H533" s="71"/>
    </row>
    <row r="534" spans="8:8" ht="15.75" customHeight="1" x14ac:dyDescent="0.3">
      <c r="H534" s="71"/>
    </row>
    <row r="535" spans="8:8" ht="15.75" customHeight="1" x14ac:dyDescent="0.3">
      <c r="H535" s="71"/>
    </row>
    <row r="536" spans="8:8" ht="15.75" customHeight="1" x14ac:dyDescent="0.3">
      <c r="H536" s="71"/>
    </row>
    <row r="537" spans="8:8" ht="15.75" customHeight="1" x14ac:dyDescent="0.3">
      <c r="H537" s="71"/>
    </row>
    <row r="538" spans="8:8" ht="15.75" customHeight="1" x14ac:dyDescent="0.3">
      <c r="H538" s="71"/>
    </row>
    <row r="539" spans="8:8" ht="15.75" customHeight="1" x14ac:dyDescent="0.3">
      <c r="H539" s="71"/>
    </row>
    <row r="540" spans="8:8" ht="15.75" customHeight="1" x14ac:dyDescent="0.3">
      <c r="H540" s="71"/>
    </row>
    <row r="541" spans="8:8" ht="15.75" customHeight="1" x14ac:dyDescent="0.3">
      <c r="H541" s="71"/>
    </row>
    <row r="542" spans="8:8" ht="15.75" customHeight="1" x14ac:dyDescent="0.3">
      <c r="H542" s="71"/>
    </row>
    <row r="543" spans="8:8" ht="15.75" customHeight="1" x14ac:dyDescent="0.3">
      <c r="H543" s="71"/>
    </row>
    <row r="544" spans="8:8" ht="15.75" customHeight="1" x14ac:dyDescent="0.3">
      <c r="H544" s="71"/>
    </row>
    <row r="545" spans="8:8" ht="15.75" customHeight="1" x14ac:dyDescent="0.3">
      <c r="H545" s="71"/>
    </row>
    <row r="546" spans="8:8" ht="15.75" customHeight="1" x14ac:dyDescent="0.3">
      <c r="H546" s="71"/>
    </row>
    <row r="547" spans="8:8" ht="15.75" customHeight="1" x14ac:dyDescent="0.3">
      <c r="H547" s="71"/>
    </row>
    <row r="548" spans="8:8" ht="15.75" customHeight="1" x14ac:dyDescent="0.3">
      <c r="H548" s="71"/>
    </row>
    <row r="549" spans="8:8" ht="15.75" customHeight="1" x14ac:dyDescent="0.3">
      <c r="H549" s="71"/>
    </row>
    <row r="550" spans="8:8" ht="15.75" customHeight="1" x14ac:dyDescent="0.3">
      <c r="H550" s="71"/>
    </row>
    <row r="551" spans="8:8" ht="15.75" customHeight="1" x14ac:dyDescent="0.3">
      <c r="H551" s="71"/>
    </row>
    <row r="552" spans="8:8" ht="15.75" customHeight="1" x14ac:dyDescent="0.3">
      <c r="H552" s="71"/>
    </row>
    <row r="553" spans="8:8" ht="15.75" customHeight="1" x14ac:dyDescent="0.3">
      <c r="H553" s="71"/>
    </row>
    <row r="554" spans="8:8" ht="15.75" customHeight="1" x14ac:dyDescent="0.3">
      <c r="H554" s="71"/>
    </row>
    <row r="555" spans="8:8" ht="15.75" customHeight="1" x14ac:dyDescent="0.3">
      <c r="H555" s="71"/>
    </row>
    <row r="556" spans="8:8" ht="15.75" customHeight="1" x14ac:dyDescent="0.3">
      <c r="H556" s="71"/>
    </row>
    <row r="557" spans="8:8" ht="15.75" customHeight="1" x14ac:dyDescent="0.3">
      <c r="H557" s="71"/>
    </row>
    <row r="558" spans="8:8" ht="15.75" customHeight="1" x14ac:dyDescent="0.3">
      <c r="H558" s="71"/>
    </row>
    <row r="559" spans="8:8" ht="15.75" customHeight="1" x14ac:dyDescent="0.3">
      <c r="H559" s="71"/>
    </row>
    <row r="560" spans="8:8" ht="15.75" customHeight="1" x14ac:dyDescent="0.3">
      <c r="H560" s="71"/>
    </row>
    <row r="561" spans="8:8" ht="15.75" customHeight="1" x14ac:dyDescent="0.3">
      <c r="H561" s="71"/>
    </row>
    <row r="562" spans="8:8" ht="15.75" customHeight="1" x14ac:dyDescent="0.3">
      <c r="H562" s="71"/>
    </row>
    <row r="563" spans="8:8" ht="15.75" customHeight="1" x14ac:dyDescent="0.3">
      <c r="H563" s="71"/>
    </row>
    <row r="564" spans="8:8" ht="15.75" customHeight="1" x14ac:dyDescent="0.3">
      <c r="H564" s="71"/>
    </row>
    <row r="565" spans="8:8" ht="15.75" customHeight="1" x14ac:dyDescent="0.3">
      <c r="H565" s="71"/>
    </row>
    <row r="566" spans="8:8" ht="15.75" customHeight="1" x14ac:dyDescent="0.3">
      <c r="H566" s="71"/>
    </row>
    <row r="567" spans="8:8" ht="15.75" customHeight="1" x14ac:dyDescent="0.3">
      <c r="H567" s="71"/>
    </row>
    <row r="568" spans="8:8" ht="15.75" customHeight="1" x14ac:dyDescent="0.3">
      <c r="H568" s="71"/>
    </row>
    <row r="569" spans="8:8" ht="15.75" customHeight="1" x14ac:dyDescent="0.3">
      <c r="H569" s="71"/>
    </row>
    <row r="570" spans="8:8" ht="15.75" customHeight="1" x14ac:dyDescent="0.3">
      <c r="H570" s="71"/>
    </row>
    <row r="571" spans="8:8" ht="15.75" customHeight="1" x14ac:dyDescent="0.3">
      <c r="H571" s="71"/>
    </row>
    <row r="572" spans="8:8" ht="15.75" customHeight="1" x14ac:dyDescent="0.3">
      <c r="H572" s="71"/>
    </row>
    <row r="573" spans="8:8" ht="15.75" customHeight="1" x14ac:dyDescent="0.3">
      <c r="H573" s="71"/>
    </row>
    <row r="574" spans="8:8" ht="15.75" customHeight="1" x14ac:dyDescent="0.3">
      <c r="H574" s="71"/>
    </row>
    <row r="575" spans="8:8" ht="15.75" customHeight="1" x14ac:dyDescent="0.3">
      <c r="H575" s="71"/>
    </row>
    <row r="576" spans="8:8" ht="15.75" customHeight="1" x14ac:dyDescent="0.3">
      <c r="H576" s="71"/>
    </row>
    <row r="577" spans="8:8" ht="15.75" customHeight="1" x14ac:dyDescent="0.3">
      <c r="H577" s="71"/>
    </row>
    <row r="578" spans="8:8" ht="15.75" customHeight="1" x14ac:dyDescent="0.3">
      <c r="H578" s="71"/>
    </row>
    <row r="579" spans="8:8" ht="15.75" customHeight="1" x14ac:dyDescent="0.3">
      <c r="H579" s="71"/>
    </row>
    <row r="580" spans="8:8" ht="15.75" customHeight="1" x14ac:dyDescent="0.3">
      <c r="H580" s="71"/>
    </row>
    <row r="581" spans="8:8" ht="15.75" customHeight="1" x14ac:dyDescent="0.3">
      <c r="H581" s="71"/>
    </row>
    <row r="582" spans="8:8" ht="15.75" customHeight="1" x14ac:dyDescent="0.3">
      <c r="H582" s="71"/>
    </row>
    <row r="583" spans="8:8" ht="15.75" customHeight="1" x14ac:dyDescent="0.3">
      <c r="H583" s="71"/>
    </row>
    <row r="584" spans="8:8" ht="15.75" customHeight="1" x14ac:dyDescent="0.3">
      <c r="H584" s="71"/>
    </row>
    <row r="585" spans="8:8" ht="15.75" customHeight="1" x14ac:dyDescent="0.3">
      <c r="H585" s="71"/>
    </row>
    <row r="586" spans="8:8" ht="15.75" customHeight="1" x14ac:dyDescent="0.3">
      <c r="H586" s="71"/>
    </row>
    <row r="587" spans="8:8" ht="15.75" customHeight="1" x14ac:dyDescent="0.3">
      <c r="H587" s="71"/>
    </row>
    <row r="588" spans="8:8" ht="15.75" customHeight="1" x14ac:dyDescent="0.3">
      <c r="H588" s="71"/>
    </row>
    <row r="589" spans="8:8" ht="15.75" customHeight="1" x14ac:dyDescent="0.3">
      <c r="H589" s="71"/>
    </row>
    <row r="590" spans="8:8" ht="15.75" customHeight="1" x14ac:dyDescent="0.3">
      <c r="H590" s="71"/>
    </row>
    <row r="591" spans="8:8" ht="15.75" customHeight="1" x14ac:dyDescent="0.3">
      <c r="H591" s="71"/>
    </row>
    <row r="592" spans="8:8" ht="15.75" customHeight="1" x14ac:dyDescent="0.3">
      <c r="H592" s="71"/>
    </row>
    <row r="593" spans="8:8" ht="15.75" customHeight="1" x14ac:dyDescent="0.3">
      <c r="H593" s="71"/>
    </row>
    <row r="594" spans="8:8" ht="15.75" customHeight="1" x14ac:dyDescent="0.3">
      <c r="H594" s="71"/>
    </row>
    <row r="595" spans="8:8" ht="15.75" customHeight="1" x14ac:dyDescent="0.3">
      <c r="H595" s="71"/>
    </row>
    <row r="596" spans="8:8" ht="15.75" customHeight="1" x14ac:dyDescent="0.3">
      <c r="H596" s="71"/>
    </row>
    <row r="597" spans="8:8" ht="15.75" customHeight="1" x14ac:dyDescent="0.3">
      <c r="H597" s="71"/>
    </row>
    <row r="598" spans="8:8" ht="15.75" customHeight="1" x14ac:dyDescent="0.3">
      <c r="H598" s="71"/>
    </row>
    <row r="599" spans="8:8" ht="15.75" customHeight="1" x14ac:dyDescent="0.3">
      <c r="H599" s="71"/>
    </row>
    <row r="600" spans="8:8" ht="15.75" customHeight="1" x14ac:dyDescent="0.3">
      <c r="H600" s="71"/>
    </row>
    <row r="601" spans="8:8" ht="15.75" customHeight="1" x14ac:dyDescent="0.3">
      <c r="H601" s="71"/>
    </row>
    <row r="602" spans="8:8" ht="15.75" customHeight="1" x14ac:dyDescent="0.3">
      <c r="H602" s="71"/>
    </row>
    <row r="603" spans="8:8" ht="15.75" customHeight="1" x14ac:dyDescent="0.3">
      <c r="H603" s="71"/>
    </row>
    <row r="604" spans="8:8" ht="15.75" customHeight="1" x14ac:dyDescent="0.3">
      <c r="H604" s="71"/>
    </row>
    <row r="605" spans="8:8" ht="15.75" customHeight="1" x14ac:dyDescent="0.3">
      <c r="H605" s="71"/>
    </row>
    <row r="606" spans="8:8" ht="15.75" customHeight="1" x14ac:dyDescent="0.3">
      <c r="H606" s="71"/>
    </row>
    <row r="607" spans="8:8" ht="15.75" customHeight="1" x14ac:dyDescent="0.3">
      <c r="H607" s="71"/>
    </row>
    <row r="608" spans="8:8" ht="15.75" customHeight="1" x14ac:dyDescent="0.3">
      <c r="H608" s="71"/>
    </row>
    <row r="609" spans="8:8" ht="15.75" customHeight="1" x14ac:dyDescent="0.3">
      <c r="H609" s="71"/>
    </row>
    <row r="610" spans="8:8" ht="15.75" customHeight="1" x14ac:dyDescent="0.3">
      <c r="H610" s="71"/>
    </row>
    <row r="611" spans="8:8" ht="15.75" customHeight="1" x14ac:dyDescent="0.3">
      <c r="H611" s="71"/>
    </row>
    <row r="612" spans="8:8" ht="15.75" customHeight="1" x14ac:dyDescent="0.3">
      <c r="H612" s="71"/>
    </row>
    <row r="613" spans="8:8" ht="15.75" customHeight="1" x14ac:dyDescent="0.3">
      <c r="H613" s="71"/>
    </row>
    <row r="614" spans="8:8" ht="15.75" customHeight="1" x14ac:dyDescent="0.3">
      <c r="H614" s="71"/>
    </row>
    <row r="615" spans="8:8" ht="15.75" customHeight="1" x14ac:dyDescent="0.3">
      <c r="H615" s="71"/>
    </row>
    <row r="616" spans="8:8" ht="15.75" customHeight="1" x14ac:dyDescent="0.3">
      <c r="H616" s="71"/>
    </row>
    <row r="617" spans="8:8" ht="15.75" customHeight="1" x14ac:dyDescent="0.3">
      <c r="H617" s="71"/>
    </row>
    <row r="618" spans="8:8" ht="15.75" customHeight="1" x14ac:dyDescent="0.3">
      <c r="H618" s="71"/>
    </row>
    <row r="619" spans="8:8" ht="15.75" customHeight="1" x14ac:dyDescent="0.3">
      <c r="H619" s="71"/>
    </row>
    <row r="620" spans="8:8" ht="15.75" customHeight="1" x14ac:dyDescent="0.3">
      <c r="H620" s="71"/>
    </row>
    <row r="621" spans="8:8" ht="15.75" customHeight="1" x14ac:dyDescent="0.3">
      <c r="H621" s="71"/>
    </row>
    <row r="622" spans="8:8" ht="15.75" customHeight="1" x14ac:dyDescent="0.3">
      <c r="H622" s="71"/>
    </row>
    <row r="623" spans="8:8" ht="15.75" customHeight="1" x14ac:dyDescent="0.3">
      <c r="H623" s="71"/>
    </row>
    <row r="624" spans="8:8" ht="15.75" customHeight="1" x14ac:dyDescent="0.3">
      <c r="H624" s="71"/>
    </row>
    <row r="625" spans="8:8" ht="15.75" customHeight="1" x14ac:dyDescent="0.3">
      <c r="H625" s="71"/>
    </row>
    <row r="626" spans="8:8" ht="15.75" customHeight="1" x14ac:dyDescent="0.3">
      <c r="H626" s="71"/>
    </row>
    <row r="627" spans="8:8" ht="15.75" customHeight="1" x14ac:dyDescent="0.3">
      <c r="H627" s="71"/>
    </row>
    <row r="628" spans="8:8" ht="15.75" customHeight="1" x14ac:dyDescent="0.3">
      <c r="H628" s="71"/>
    </row>
    <row r="629" spans="8:8" ht="15.75" customHeight="1" x14ac:dyDescent="0.3">
      <c r="H629" s="71"/>
    </row>
    <row r="630" spans="8:8" ht="15.75" customHeight="1" x14ac:dyDescent="0.3">
      <c r="H630" s="71"/>
    </row>
    <row r="631" spans="8:8" ht="15.75" customHeight="1" x14ac:dyDescent="0.3">
      <c r="H631" s="71"/>
    </row>
    <row r="632" spans="8:8" ht="15.75" customHeight="1" x14ac:dyDescent="0.3">
      <c r="H632" s="71"/>
    </row>
    <row r="633" spans="8:8" ht="15.75" customHeight="1" x14ac:dyDescent="0.3">
      <c r="H633" s="71"/>
    </row>
    <row r="634" spans="8:8" ht="15.75" customHeight="1" x14ac:dyDescent="0.3">
      <c r="H634" s="71"/>
    </row>
    <row r="635" spans="8:8" ht="15.75" customHeight="1" x14ac:dyDescent="0.3">
      <c r="H635" s="71"/>
    </row>
    <row r="636" spans="8:8" ht="15.75" customHeight="1" x14ac:dyDescent="0.3">
      <c r="H636" s="71"/>
    </row>
    <row r="637" spans="8:8" ht="15.75" customHeight="1" x14ac:dyDescent="0.3">
      <c r="H637" s="71"/>
    </row>
    <row r="638" spans="8:8" ht="15.75" customHeight="1" x14ac:dyDescent="0.3">
      <c r="H638" s="71"/>
    </row>
    <row r="639" spans="8:8" ht="15.75" customHeight="1" x14ac:dyDescent="0.3">
      <c r="H639" s="71"/>
    </row>
    <row r="640" spans="8:8" ht="15.75" customHeight="1" x14ac:dyDescent="0.3">
      <c r="H640" s="71"/>
    </row>
    <row r="641" spans="8:8" ht="15.75" customHeight="1" x14ac:dyDescent="0.3">
      <c r="H641" s="71"/>
    </row>
    <row r="642" spans="8:8" ht="15.75" customHeight="1" x14ac:dyDescent="0.3">
      <c r="H642" s="71"/>
    </row>
    <row r="643" spans="8:8" ht="15.75" customHeight="1" x14ac:dyDescent="0.3">
      <c r="H643" s="71"/>
    </row>
    <row r="644" spans="8:8" ht="15.75" customHeight="1" x14ac:dyDescent="0.3">
      <c r="H644" s="71"/>
    </row>
    <row r="645" spans="8:8" ht="15.75" customHeight="1" x14ac:dyDescent="0.3">
      <c r="H645" s="71"/>
    </row>
    <row r="646" spans="8:8" ht="15.75" customHeight="1" x14ac:dyDescent="0.3">
      <c r="H646" s="71"/>
    </row>
    <row r="647" spans="8:8" ht="15.75" customHeight="1" x14ac:dyDescent="0.3">
      <c r="H647" s="71"/>
    </row>
    <row r="648" spans="8:8" ht="15.75" customHeight="1" x14ac:dyDescent="0.3">
      <c r="H648" s="71"/>
    </row>
    <row r="649" spans="8:8" ht="15.75" customHeight="1" x14ac:dyDescent="0.3">
      <c r="H649" s="71"/>
    </row>
    <row r="650" spans="8:8" ht="15.75" customHeight="1" x14ac:dyDescent="0.3">
      <c r="H650" s="71"/>
    </row>
    <row r="651" spans="8:8" ht="15.75" customHeight="1" x14ac:dyDescent="0.3">
      <c r="H651" s="71"/>
    </row>
    <row r="652" spans="8:8" ht="15.75" customHeight="1" x14ac:dyDescent="0.3">
      <c r="H652" s="71"/>
    </row>
    <row r="653" spans="8:8" ht="15.75" customHeight="1" x14ac:dyDescent="0.3">
      <c r="H653" s="71"/>
    </row>
    <row r="654" spans="8:8" ht="15.75" customHeight="1" x14ac:dyDescent="0.3">
      <c r="H654" s="71"/>
    </row>
    <row r="655" spans="8:8" ht="15.75" customHeight="1" x14ac:dyDescent="0.3">
      <c r="H655" s="71"/>
    </row>
    <row r="656" spans="8:8" ht="15.75" customHeight="1" x14ac:dyDescent="0.3">
      <c r="H656" s="71"/>
    </row>
    <row r="657" spans="8:8" ht="15.75" customHeight="1" x14ac:dyDescent="0.3">
      <c r="H657" s="71"/>
    </row>
    <row r="658" spans="8:8" ht="15.75" customHeight="1" x14ac:dyDescent="0.3">
      <c r="H658" s="71"/>
    </row>
    <row r="659" spans="8:8" ht="15.75" customHeight="1" x14ac:dyDescent="0.3">
      <c r="H659" s="71"/>
    </row>
    <row r="660" spans="8:8" ht="15.75" customHeight="1" x14ac:dyDescent="0.3">
      <c r="H660" s="71"/>
    </row>
    <row r="661" spans="8:8" ht="15.75" customHeight="1" x14ac:dyDescent="0.3">
      <c r="H661" s="71"/>
    </row>
    <row r="662" spans="8:8" ht="15.75" customHeight="1" x14ac:dyDescent="0.3">
      <c r="H662" s="71"/>
    </row>
    <row r="663" spans="8:8" ht="15.75" customHeight="1" x14ac:dyDescent="0.3">
      <c r="H663" s="71"/>
    </row>
    <row r="664" spans="8:8" ht="15.75" customHeight="1" x14ac:dyDescent="0.3">
      <c r="H664" s="71"/>
    </row>
    <row r="665" spans="8:8" ht="15.75" customHeight="1" x14ac:dyDescent="0.3">
      <c r="H665" s="71"/>
    </row>
    <row r="666" spans="8:8" ht="15.75" customHeight="1" x14ac:dyDescent="0.3">
      <c r="H666" s="71"/>
    </row>
    <row r="667" spans="8:8" ht="15.75" customHeight="1" x14ac:dyDescent="0.3">
      <c r="H667" s="71"/>
    </row>
    <row r="668" spans="8:8" ht="15.75" customHeight="1" x14ac:dyDescent="0.3">
      <c r="H668" s="71"/>
    </row>
    <row r="669" spans="8:8" ht="15.75" customHeight="1" x14ac:dyDescent="0.3">
      <c r="H669" s="71"/>
    </row>
    <row r="670" spans="8:8" ht="15.75" customHeight="1" x14ac:dyDescent="0.3">
      <c r="H670" s="71"/>
    </row>
    <row r="671" spans="8:8" ht="15.75" customHeight="1" x14ac:dyDescent="0.3">
      <c r="H671" s="71"/>
    </row>
    <row r="672" spans="8:8" ht="15.75" customHeight="1" x14ac:dyDescent="0.3">
      <c r="H672" s="71"/>
    </row>
    <row r="673" spans="8:8" ht="15.75" customHeight="1" x14ac:dyDescent="0.3">
      <c r="H673" s="71"/>
    </row>
    <row r="674" spans="8:8" ht="15.75" customHeight="1" x14ac:dyDescent="0.3">
      <c r="H674" s="71"/>
    </row>
    <row r="675" spans="8:8" ht="15.75" customHeight="1" x14ac:dyDescent="0.3">
      <c r="H675" s="71"/>
    </row>
    <row r="676" spans="8:8" ht="15.75" customHeight="1" x14ac:dyDescent="0.3">
      <c r="H676" s="71"/>
    </row>
    <row r="677" spans="8:8" ht="15.75" customHeight="1" x14ac:dyDescent="0.3">
      <c r="H677" s="71"/>
    </row>
    <row r="678" spans="8:8" ht="15.75" customHeight="1" x14ac:dyDescent="0.3">
      <c r="H678" s="71"/>
    </row>
    <row r="679" spans="8:8" ht="15.75" customHeight="1" x14ac:dyDescent="0.3">
      <c r="H679" s="71"/>
    </row>
    <row r="680" spans="8:8" ht="15.75" customHeight="1" x14ac:dyDescent="0.3">
      <c r="H680" s="71"/>
    </row>
    <row r="681" spans="8:8" ht="15.75" customHeight="1" x14ac:dyDescent="0.3">
      <c r="H681" s="71"/>
    </row>
    <row r="682" spans="8:8" ht="15.75" customHeight="1" x14ac:dyDescent="0.3">
      <c r="H682" s="71"/>
    </row>
    <row r="683" spans="8:8" ht="15.75" customHeight="1" x14ac:dyDescent="0.3">
      <c r="H683" s="71"/>
    </row>
    <row r="684" spans="8:8" ht="15.75" customHeight="1" x14ac:dyDescent="0.3">
      <c r="H684" s="71"/>
    </row>
    <row r="685" spans="8:8" ht="15.75" customHeight="1" x14ac:dyDescent="0.3">
      <c r="H685" s="71"/>
    </row>
    <row r="686" spans="8:8" ht="15.75" customHeight="1" x14ac:dyDescent="0.3">
      <c r="H686" s="71"/>
    </row>
    <row r="687" spans="8:8" ht="15.75" customHeight="1" x14ac:dyDescent="0.3">
      <c r="H687" s="71"/>
    </row>
    <row r="688" spans="8:8" ht="15.75" customHeight="1" x14ac:dyDescent="0.3">
      <c r="H688" s="71"/>
    </row>
    <row r="689" spans="8:8" ht="15.75" customHeight="1" x14ac:dyDescent="0.3">
      <c r="H689" s="71"/>
    </row>
    <row r="690" spans="8:8" ht="15.75" customHeight="1" x14ac:dyDescent="0.3">
      <c r="H690" s="71"/>
    </row>
    <row r="691" spans="8:8" ht="15.75" customHeight="1" x14ac:dyDescent="0.3">
      <c r="H691" s="71"/>
    </row>
    <row r="692" spans="8:8" ht="15.75" customHeight="1" x14ac:dyDescent="0.3">
      <c r="H692" s="71"/>
    </row>
    <row r="693" spans="8:8" ht="15.75" customHeight="1" x14ac:dyDescent="0.3">
      <c r="H693" s="71"/>
    </row>
    <row r="694" spans="8:8" ht="15.75" customHeight="1" x14ac:dyDescent="0.3">
      <c r="H694" s="71"/>
    </row>
    <row r="695" spans="8:8" ht="15.75" customHeight="1" x14ac:dyDescent="0.3">
      <c r="H695" s="71"/>
    </row>
    <row r="696" spans="8:8" ht="15.75" customHeight="1" x14ac:dyDescent="0.3">
      <c r="H696" s="71"/>
    </row>
    <row r="697" spans="8:8" ht="15.75" customHeight="1" x14ac:dyDescent="0.3">
      <c r="H697" s="71"/>
    </row>
    <row r="698" spans="8:8" ht="15.75" customHeight="1" x14ac:dyDescent="0.3">
      <c r="H698" s="71"/>
    </row>
    <row r="699" spans="8:8" ht="15.75" customHeight="1" x14ac:dyDescent="0.3">
      <c r="H699" s="71"/>
    </row>
    <row r="700" spans="8:8" ht="15.75" customHeight="1" x14ac:dyDescent="0.3">
      <c r="H700" s="71"/>
    </row>
    <row r="701" spans="8:8" ht="15.75" customHeight="1" x14ac:dyDescent="0.3">
      <c r="H701" s="71"/>
    </row>
    <row r="702" spans="8:8" ht="15.75" customHeight="1" x14ac:dyDescent="0.3">
      <c r="H702" s="71"/>
    </row>
    <row r="703" spans="8:8" ht="15.75" customHeight="1" x14ac:dyDescent="0.3">
      <c r="H703" s="71"/>
    </row>
    <row r="704" spans="8:8" ht="15.75" customHeight="1" x14ac:dyDescent="0.3">
      <c r="H704" s="71"/>
    </row>
    <row r="705" spans="8:8" ht="15.75" customHeight="1" x14ac:dyDescent="0.3">
      <c r="H705" s="71"/>
    </row>
    <row r="706" spans="8:8" ht="15.75" customHeight="1" x14ac:dyDescent="0.3">
      <c r="H706" s="71"/>
    </row>
    <row r="707" spans="8:8" ht="15.75" customHeight="1" x14ac:dyDescent="0.3">
      <c r="H707" s="71"/>
    </row>
    <row r="708" spans="8:8" ht="15.75" customHeight="1" x14ac:dyDescent="0.3">
      <c r="H708" s="71"/>
    </row>
    <row r="709" spans="8:8" ht="15.75" customHeight="1" x14ac:dyDescent="0.3">
      <c r="H709" s="71"/>
    </row>
    <row r="710" spans="8:8" ht="15.75" customHeight="1" x14ac:dyDescent="0.3">
      <c r="H710" s="71"/>
    </row>
    <row r="711" spans="8:8" ht="15.75" customHeight="1" x14ac:dyDescent="0.3">
      <c r="H711" s="71"/>
    </row>
    <row r="712" spans="8:8" ht="15.75" customHeight="1" x14ac:dyDescent="0.3">
      <c r="H712" s="71"/>
    </row>
    <row r="713" spans="8:8" ht="15.75" customHeight="1" x14ac:dyDescent="0.3">
      <c r="H713" s="71"/>
    </row>
    <row r="714" spans="8:8" ht="15.75" customHeight="1" x14ac:dyDescent="0.3">
      <c r="H714" s="71"/>
    </row>
    <row r="715" spans="8:8" ht="15.75" customHeight="1" x14ac:dyDescent="0.3">
      <c r="H715" s="71"/>
    </row>
    <row r="716" spans="8:8" ht="15.75" customHeight="1" x14ac:dyDescent="0.3">
      <c r="H716" s="71"/>
    </row>
    <row r="717" spans="8:8" ht="15.75" customHeight="1" x14ac:dyDescent="0.3">
      <c r="H717" s="71"/>
    </row>
    <row r="718" spans="8:8" ht="15.75" customHeight="1" x14ac:dyDescent="0.3">
      <c r="H718" s="71"/>
    </row>
    <row r="719" spans="8:8" ht="15.75" customHeight="1" x14ac:dyDescent="0.3">
      <c r="H719" s="71"/>
    </row>
    <row r="720" spans="8:8" ht="15.75" customHeight="1" x14ac:dyDescent="0.3">
      <c r="H720" s="71"/>
    </row>
    <row r="721" spans="8:8" ht="15.75" customHeight="1" x14ac:dyDescent="0.3">
      <c r="H721" s="71"/>
    </row>
    <row r="722" spans="8:8" ht="15.75" customHeight="1" x14ac:dyDescent="0.3">
      <c r="H722" s="71"/>
    </row>
    <row r="723" spans="8:8" ht="15.75" customHeight="1" x14ac:dyDescent="0.3">
      <c r="H723" s="71"/>
    </row>
    <row r="724" spans="8:8" ht="15.75" customHeight="1" x14ac:dyDescent="0.3">
      <c r="H724" s="71"/>
    </row>
    <row r="725" spans="8:8" ht="15.75" customHeight="1" x14ac:dyDescent="0.3">
      <c r="H725" s="71"/>
    </row>
    <row r="726" spans="8:8" ht="15.75" customHeight="1" x14ac:dyDescent="0.3">
      <c r="H726" s="71"/>
    </row>
    <row r="727" spans="8:8" ht="15.75" customHeight="1" x14ac:dyDescent="0.3">
      <c r="H727" s="71"/>
    </row>
    <row r="728" spans="8:8" ht="15.75" customHeight="1" x14ac:dyDescent="0.3">
      <c r="H728" s="71"/>
    </row>
    <row r="729" spans="8:8" ht="15.75" customHeight="1" x14ac:dyDescent="0.3">
      <c r="H729" s="71"/>
    </row>
    <row r="730" spans="8:8" ht="15.75" customHeight="1" x14ac:dyDescent="0.3">
      <c r="H730" s="71"/>
    </row>
    <row r="731" spans="8:8" ht="15.75" customHeight="1" x14ac:dyDescent="0.3">
      <c r="H731" s="71"/>
    </row>
    <row r="732" spans="8:8" ht="15.75" customHeight="1" x14ac:dyDescent="0.3">
      <c r="H732" s="71"/>
    </row>
    <row r="733" spans="8:8" ht="15.75" customHeight="1" x14ac:dyDescent="0.3">
      <c r="H733" s="71"/>
    </row>
    <row r="734" spans="8:8" ht="15.75" customHeight="1" x14ac:dyDescent="0.3">
      <c r="H734" s="71"/>
    </row>
    <row r="735" spans="8:8" ht="15.75" customHeight="1" x14ac:dyDescent="0.3">
      <c r="H735" s="71"/>
    </row>
    <row r="736" spans="8:8" ht="15.75" customHeight="1" x14ac:dyDescent="0.3">
      <c r="H736" s="71"/>
    </row>
    <row r="737" spans="8:8" ht="15.75" customHeight="1" x14ac:dyDescent="0.3">
      <c r="H737" s="71"/>
    </row>
    <row r="738" spans="8:8" ht="15.75" customHeight="1" x14ac:dyDescent="0.3">
      <c r="H738" s="71"/>
    </row>
    <row r="739" spans="8:8" ht="15.75" customHeight="1" x14ac:dyDescent="0.3">
      <c r="H739" s="71"/>
    </row>
    <row r="740" spans="8:8" ht="15.75" customHeight="1" x14ac:dyDescent="0.3">
      <c r="H740" s="71"/>
    </row>
    <row r="741" spans="8:8" ht="15.75" customHeight="1" x14ac:dyDescent="0.3">
      <c r="H741" s="71"/>
    </row>
    <row r="742" spans="8:8" ht="15.75" customHeight="1" x14ac:dyDescent="0.3">
      <c r="H742" s="71"/>
    </row>
    <row r="743" spans="8:8" ht="15.75" customHeight="1" x14ac:dyDescent="0.3">
      <c r="H743" s="71"/>
    </row>
    <row r="744" spans="8:8" ht="15.75" customHeight="1" x14ac:dyDescent="0.3">
      <c r="H744" s="71"/>
    </row>
    <row r="745" spans="8:8" ht="15.75" customHeight="1" x14ac:dyDescent="0.3">
      <c r="H745" s="71"/>
    </row>
    <row r="746" spans="8:8" ht="15.75" customHeight="1" x14ac:dyDescent="0.3">
      <c r="H746" s="71"/>
    </row>
    <row r="747" spans="8:8" ht="15.75" customHeight="1" x14ac:dyDescent="0.3">
      <c r="H747" s="71"/>
    </row>
    <row r="748" spans="8:8" ht="15.75" customHeight="1" x14ac:dyDescent="0.3">
      <c r="H748" s="71"/>
    </row>
    <row r="749" spans="8:8" ht="15.75" customHeight="1" x14ac:dyDescent="0.3">
      <c r="H749" s="71"/>
    </row>
    <row r="750" spans="8:8" ht="15.75" customHeight="1" x14ac:dyDescent="0.3">
      <c r="H750" s="71"/>
    </row>
    <row r="751" spans="8:8" ht="15.75" customHeight="1" x14ac:dyDescent="0.3">
      <c r="H751" s="71"/>
    </row>
    <row r="752" spans="8:8" ht="15.75" customHeight="1" x14ac:dyDescent="0.3">
      <c r="H752" s="71"/>
    </row>
    <row r="753" spans="8:8" ht="15.75" customHeight="1" x14ac:dyDescent="0.3">
      <c r="H753" s="71"/>
    </row>
    <row r="754" spans="8:8" ht="15.75" customHeight="1" x14ac:dyDescent="0.3">
      <c r="H754" s="71"/>
    </row>
    <row r="755" spans="8:8" ht="15.75" customHeight="1" x14ac:dyDescent="0.3">
      <c r="H755" s="71"/>
    </row>
    <row r="756" spans="8:8" ht="15.75" customHeight="1" x14ac:dyDescent="0.3">
      <c r="H756" s="71"/>
    </row>
    <row r="757" spans="8:8" ht="15.75" customHeight="1" x14ac:dyDescent="0.3">
      <c r="H757" s="71"/>
    </row>
    <row r="758" spans="8:8" ht="15.75" customHeight="1" x14ac:dyDescent="0.3">
      <c r="H758" s="71"/>
    </row>
    <row r="759" spans="8:8" ht="15.75" customHeight="1" x14ac:dyDescent="0.3">
      <c r="H759" s="71"/>
    </row>
    <row r="760" spans="8:8" ht="15.75" customHeight="1" x14ac:dyDescent="0.3">
      <c r="H760" s="71"/>
    </row>
    <row r="761" spans="8:8" ht="15.75" customHeight="1" x14ac:dyDescent="0.3">
      <c r="H761" s="71"/>
    </row>
    <row r="762" spans="8:8" ht="15.75" customHeight="1" x14ac:dyDescent="0.3">
      <c r="H762" s="71"/>
    </row>
    <row r="763" spans="8:8" ht="15.75" customHeight="1" x14ac:dyDescent="0.3">
      <c r="H763" s="71"/>
    </row>
    <row r="764" spans="8:8" ht="15.75" customHeight="1" x14ac:dyDescent="0.3">
      <c r="H764" s="71"/>
    </row>
    <row r="765" spans="8:8" ht="15.75" customHeight="1" x14ac:dyDescent="0.3">
      <c r="H765" s="71"/>
    </row>
    <row r="766" spans="8:8" ht="15.75" customHeight="1" x14ac:dyDescent="0.3">
      <c r="H766" s="71"/>
    </row>
    <row r="767" spans="8:8" ht="15.75" customHeight="1" x14ac:dyDescent="0.3">
      <c r="H767" s="71"/>
    </row>
    <row r="768" spans="8:8" ht="15.75" customHeight="1" x14ac:dyDescent="0.3">
      <c r="H768" s="71"/>
    </row>
    <row r="769" spans="8:8" ht="15.75" customHeight="1" x14ac:dyDescent="0.3">
      <c r="H769" s="71"/>
    </row>
    <row r="770" spans="8:8" ht="15.75" customHeight="1" x14ac:dyDescent="0.3">
      <c r="H770" s="71"/>
    </row>
    <row r="771" spans="8:8" ht="15.75" customHeight="1" x14ac:dyDescent="0.3">
      <c r="H771" s="71"/>
    </row>
    <row r="772" spans="8:8" ht="15.75" customHeight="1" x14ac:dyDescent="0.3">
      <c r="H772" s="71"/>
    </row>
    <row r="773" spans="8:8" ht="15.75" customHeight="1" x14ac:dyDescent="0.3">
      <c r="H773" s="71"/>
    </row>
    <row r="774" spans="8:8" ht="15.75" customHeight="1" x14ac:dyDescent="0.3">
      <c r="H774" s="71"/>
    </row>
    <row r="775" spans="8:8" ht="15.75" customHeight="1" x14ac:dyDescent="0.3">
      <c r="H775" s="71"/>
    </row>
    <row r="776" spans="8:8" ht="15.75" customHeight="1" x14ac:dyDescent="0.3">
      <c r="H776" s="71"/>
    </row>
    <row r="777" spans="8:8" ht="15.75" customHeight="1" x14ac:dyDescent="0.3">
      <c r="H777" s="71"/>
    </row>
    <row r="778" spans="8:8" ht="15.75" customHeight="1" x14ac:dyDescent="0.3">
      <c r="H778" s="71"/>
    </row>
    <row r="779" spans="8:8" ht="15.75" customHeight="1" x14ac:dyDescent="0.3">
      <c r="H779" s="71"/>
    </row>
    <row r="780" spans="8:8" ht="15.75" customHeight="1" x14ac:dyDescent="0.3">
      <c r="H780" s="71"/>
    </row>
    <row r="781" spans="8:8" ht="15.75" customHeight="1" x14ac:dyDescent="0.3">
      <c r="H781" s="71"/>
    </row>
    <row r="782" spans="8:8" ht="15.75" customHeight="1" x14ac:dyDescent="0.3">
      <c r="H782" s="71"/>
    </row>
    <row r="783" spans="8:8" ht="15.75" customHeight="1" x14ac:dyDescent="0.3">
      <c r="H783" s="71"/>
    </row>
    <row r="784" spans="8:8" ht="15.75" customHeight="1" x14ac:dyDescent="0.3">
      <c r="H784" s="71"/>
    </row>
    <row r="785" spans="8:8" ht="15.75" customHeight="1" x14ac:dyDescent="0.3">
      <c r="H785" s="71"/>
    </row>
    <row r="786" spans="8:8" ht="15.75" customHeight="1" x14ac:dyDescent="0.3">
      <c r="H786" s="71"/>
    </row>
    <row r="787" spans="8:8" ht="15.75" customHeight="1" x14ac:dyDescent="0.3">
      <c r="H787" s="71"/>
    </row>
    <row r="788" spans="8:8" ht="15.75" customHeight="1" x14ac:dyDescent="0.3">
      <c r="H788" s="71"/>
    </row>
    <row r="789" spans="8:8" ht="15.75" customHeight="1" x14ac:dyDescent="0.3">
      <c r="H789" s="71"/>
    </row>
    <row r="790" spans="8:8" ht="15.75" customHeight="1" x14ac:dyDescent="0.3">
      <c r="H790" s="71"/>
    </row>
    <row r="791" spans="8:8" ht="15.75" customHeight="1" x14ac:dyDescent="0.3">
      <c r="H791" s="71"/>
    </row>
    <row r="792" spans="8:8" ht="15.75" customHeight="1" x14ac:dyDescent="0.3">
      <c r="H792" s="71"/>
    </row>
    <row r="793" spans="8:8" ht="15.75" customHeight="1" x14ac:dyDescent="0.3">
      <c r="H793" s="71"/>
    </row>
    <row r="794" spans="8:8" ht="15.75" customHeight="1" x14ac:dyDescent="0.3">
      <c r="H794" s="71"/>
    </row>
    <row r="795" spans="8:8" ht="15.75" customHeight="1" x14ac:dyDescent="0.3">
      <c r="H795" s="71"/>
    </row>
    <row r="796" spans="8:8" ht="15.75" customHeight="1" x14ac:dyDescent="0.3">
      <c r="H796" s="71"/>
    </row>
    <row r="797" spans="8:8" ht="15.75" customHeight="1" x14ac:dyDescent="0.3">
      <c r="H797" s="71"/>
    </row>
    <row r="798" spans="8:8" ht="15.75" customHeight="1" x14ac:dyDescent="0.3">
      <c r="H798" s="71"/>
    </row>
    <row r="799" spans="8:8" ht="15.75" customHeight="1" x14ac:dyDescent="0.3">
      <c r="H799" s="71"/>
    </row>
    <row r="800" spans="8:8" ht="15.75" customHeight="1" x14ac:dyDescent="0.3">
      <c r="H800" s="71"/>
    </row>
    <row r="801" spans="8:8" ht="15.75" customHeight="1" x14ac:dyDescent="0.3">
      <c r="H801" s="71"/>
    </row>
    <row r="802" spans="8:8" ht="15.75" customHeight="1" x14ac:dyDescent="0.3">
      <c r="H802" s="71"/>
    </row>
    <row r="803" spans="8:8" ht="15.75" customHeight="1" x14ac:dyDescent="0.3">
      <c r="H803" s="71"/>
    </row>
    <row r="804" spans="8:8" ht="15.75" customHeight="1" x14ac:dyDescent="0.3">
      <c r="H804" s="71"/>
    </row>
    <row r="805" spans="8:8" ht="15.75" customHeight="1" x14ac:dyDescent="0.3">
      <c r="H805" s="71"/>
    </row>
    <row r="806" spans="8:8" ht="15.75" customHeight="1" x14ac:dyDescent="0.3">
      <c r="H806" s="71"/>
    </row>
    <row r="807" spans="8:8" ht="15.75" customHeight="1" x14ac:dyDescent="0.3">
      <c r="H807" s="71"/>
    </row>
    <row r="808" spans="8:8" ht="15.75" customHeight="1" x14ac:dyDescent="0.3">
      <c r="H808" s="71"/>
    </row>
    <row r="809" spans="8:8" ht="15.75" customHeight="1" x14ac:dyDescent="0.3">
      <c r="H809" s="71"/>
    </row>
    <row r="810" spans="8:8" ht="15.75" customHeight="1" x14ac:dyDescent="0.3">
      <c r="H810" s="71"/>
    </row>
    <row r="811" spans="8:8" ht="15.75" customHeight="1" x14ac:dyDescent="0.3">
      <c r="H811" s="71"/>
    </row>
    <row r="812" spans="8:8" ht="15.75" customHeight="1" x14ac:dyDescent="0.3">
      <c r="H812" s="71"/>
    </row>
    <row r="813" spans="8:8" ht="15.75" customHeight="1" x14ac:dyDescent="0.3">
      <c r="H813" s="71"/>
    </row>
    <row r="814" spans="8:8" ht="15.75" customHeight="1" x14ac:dyDescent="0.3">
      <c r="H814" s="71"/>
    </row>
    <row r="815" spans="8:8" ht="15.75" customHeight="1" x14ac:dyDescent="0.3">
      <c r="H815" s="71"/>
    </row>
    <row r="816" spans="8:8" ht="15.75" customHeight="1" x14ac:dyDescent="0.3">
      <c r="H816" s="71"/>
    </row>
    <row r="817" spans="8:8" ht="15.75" customHeight="1" x14ac:dyDescent="0.3">
      <c r="H817" s="71"/>
    </row>
    <row r="818" spans="8:8" ht="15.75" customHeight="1" x14ac:dyDescent="0.3">
      <c r="H818" s="71"/>
    </row>
    <row r="819" spans="8:8" ht="15.75" customHeight="1" x14ac:dyDescent="0.3">
      <c r="H819" s="71"/>
    </row>
    <row r="820" spans="8:8" ht="15.75" customHeight="1" x14ac:dyDescent="0.3">
      <c r="H820" s="71"/>
    </row>
    <row r="821" spans="8:8" ht="15.75" customHeight="1" x14ac:dyDescent="0.3">
      <c r="H821" s="71"/>
    </row>
    <row r="822" spans="8:8" ht="15.75" customHeight="1" x14ac:dyDescent="0.3">
      <c r="H822" s="71"/>
    </row>
    <row r="823" spans="8:8" ht="15.75" customHeight="1" x14ac:dyDescent="0.3">
      <c r="H823" s="71"/>
    </row>
    <row r="824" spans="8:8" ht="15.75" customHeight="1" x14ac:dyDescent="0.3">
      <c r="H824" s="71"/>
    </row>
    <row r="825" spans="8:8" ht="15.75" customHeight="1" x14ac:dyDescent="0.3">
      <c r="H825" s="71"/>
    </row>
    <row r="826" spans="8:8" ht="15.75" customHeight="1" x14ac:dyDescent="0.3">
      <c r="H826" s="71"/>
    </row>
    <row r="827" spans="8:8" ht="15.75" customHeight="1" x14ac:dyDescent="0.3">
      <c r="H827" s="71"/>
    </row>
    <row r="828" spans="8:8" ht="15.75" customHeight="1" x14ac:dyDescent="0.3">
      <c r="H828" s="71"/>
    </row>
    <row r="829" spans="8:8" ht="15.75" customHeight="1" x14ac:dyDescent="0.3">
      <c r="H829" s="71"/>
    </row>
    <row r="830" spans="8:8" ht="15.75" customHeight="1" x14ac:dyDescent="0.3">
      <c r="H830" s="71"/>
    </row>
    <row r="831" spans="8:8" ht="15.75" customHeight="1" x14ac:dyDescent="0.3">
      <c r="H831" s="71"/>
    </row>
    <row r="832" spans="8:8" ht="15.75" customHeight="1" x14ac:dyDescent="0.3">
      <c r="H832" s="71"/>
    </row>
    <row r="833" spans="8:8" ht="15.75" customHeight="1" x14ac:dyDescent="0.3">
      <c r="H833" s="71"/>
    </row>
    <row r="834" spans="8:8" ht="15.75" customHeight="1" x14ac:dyDescent="0.3">
      <c r="H834" s="71"/>
    </row>
    <row r="835" spans="8:8" ht="15.75" customHeight="1" x14ac:dyDescent="0.3">
      <c r="H835" s="71"/>
    </row>
    <row r="836" spans="8:8" ht="15.75" customHeight="1" x14ac:dyDescent="0.3">
      <c r="H836" s="71"/>
    </row>
    <row r="837" spans="8:8" ht="15.75" customHeight="1" x14ac:dyDescent="0.3">
      <c r="H837" s="71"/>
    </row>
    <row r="838" spans="8:8" ht="15.75" customHeight="1" x14ac:dyDescent="0.3">
      <c r="H838" s="71"/>
    </row>
    <row r="839" spans="8:8" ht="15.75" customHeight="1" x14ac:dyDescent="0.3">
      <c r="H839" s="71"/>
    </row>
    <row r="840" spans="8:8" ht="15.75" customHeight="1" x14ac:dyDescent="0.3">
      <c r="H840" s="71"/>
    </row>
    <row r="841" spans="8:8" ht="15.75" customHeight="1" x14ac:dyDescent="0.3">
      <c r="H841" s="71"/>
    </row>
    <row r="842" spans="8:8" ht="15.75" customHeight="1" x14ac:dyDescent="0.3">
      <c r="H842" s="71"/>
    </row>
    <row r="843" spans="8:8" ht="15.75" customHeight="1" x14ac:dyDescent="0.3">
      <c r="H843" s="71"/>
    </row>
    <row r="844" spans="8:8" ht="15.75" customHeight="1" x14ac:dyDescent="0.3">
      <c r="H844" s="71"/>
    </row>
    <row r="845" spans="8:8" ht="15.75" customHeight="1" x14ac:dyDescent="0.3">
      <c r="H845" s="71"/>
    </row>
    <row r="846" spans="8:8" ht="15.75" customHeight="1" x14ac:dyDescent="0.3">
      <c r="H846" s="71"/>
    </row>
    <row r="847" spans="8:8" ht="15.75" customHeight="1" x14ac:dyDescent="0.3">
      <c r="H847" s="71"/>
    </row>
    <row r="848" spans="8:8" ht="15.75" customHeight="1" x14ac:dyDescent="0.3">
      <c r="H848" s="71"/>
    </row>
    <row r="849" spans="8:8" ht="15.75" customHeight="1" x14ac:dyDescent="0.3">
      <c r="H849" s="71"/>
    </row>
    <row r="850" spans="8:8" ht="15.75" customHeight="1" x14ac:dyDescent="0.3">
      <c r="H850" s="71"/>
    </row>
    <row r="851" spans="8:8" ht="15.75" customHeight="1" x14ac:dyDescent="0.3">
      <c r="H851" s="71"/>
    </row>
    <row r="852" spans="8:8" ht="15.75" customHeight="1" x14ac:dyDescent="0.3">
      <c r="H852" s="71"/>
    </row>
    <row r="853" spans="8:8" ht="15.75" customHeight="1" x14ac:dyDescent="0.3">
      <c r="H853" s="71"/>
    </row>
    <row r="854" spans="8:8" ht="15.75" customHeight="1" x14ac:dyDescent="0.3">
      <c r="H854" s="71"/>
    </row>
    <row r="855" spans="8:8" ht="15.75" customHeight="1" x14ac:dyDescent="0.3">
      <c r="H855" s="71"/>
    </row>
    <row r="856" spans="8:8" ht="15.75" customHeight="1" x14ac:dyDescent="0.3">
      <c r="H856" s="71"/>
    </row>
    <row r="857" spans="8:8" ht="15.75" customHeight="1" x14ac:dyDescent="0.3">
      <c r="H857" s="71"/>
    </row>
    <row r="858" spans="8:8" ht="15.75" customHeight="1" x14ac:dyDescent="0.3">
      <c r="H858" s="71"/>
    </row>
    <row r="859" spans="8:8" ht="15.75" customHeight="1" x14ac:dyDescent="0.3">
      <c r="H859" s="71"/>
    </row>
    <row r="860" spans="8:8" ht="15.75" customHeight="1" x14ac:dyDescent="0.3">
      <c r="H860" s="71"/>
    </row>
    <row r="861" spans="8:8" ht="15.75" customHeight="1" x14ac:dyDescent="0.3">
      <c r="H861" s="71"/>
    </row>
    <row r="862" spans="8:8" ht="15.75" customHeight="1" x14ac:dyDescent="0.3">
      <c r="H862" s="71"/>
    </row>
    <row r="863" spans="8:8" ht="15.75" customHeight="1" x14ac:dyDescent="0.3">
      <c r="H863" s="71"/>
    </row>
    <row r="864" spans="8:8" ht="15.75" customHeight="1" x14ac:dyDescent="0.3">
      <c r="H864" s="71"/>
    </row>
    <row r="865" spans="8:8" ht="15.75" customHeight="1" x14ac:dyDescent="0.3">
      <c r="H865" s="71"/>
    </row>
    <row r="866" spans="8:8" ht="15.75" customHeight="1" x14ac:dyDescent="0.3">
      <c r="H866" s="71"/>
    </row>
    <row r="867" spans="8:8" ht="15.75" customHeight="1" x14ac:dyDescent="0.3">
      <c r="H867" s="71"/>
    </row>
    <row r="868" spans="8:8" ht="15.75" customHeight="1" x14ac:dyDescent="0.3">
      <c r="H868" s="71"/>
    </row>
    <row r="869" spans="8:8" ht="15.75" customHeight="1" x14ac:dyDescent="0.3">
      <c r="H869" s="71"/>
    </row>
    <row r="870" spans="8:8" ht="15.75" customHeight="1" x14ac:dyDescent="0.3">
      <c r="H870" s="71"/>
    </row>
    <row r="871" spans="8:8" ht="15.75" customHeight="1" x14ac:dyDescent="0.3">
      <c r="H871" s="71"/>
    </row>
    <row r="872" spans="8:8" ht="15.75" customHeight="1" x14ac:dyDescent="0.3">
      <c r="H872" s="71"/>
    </row>
    <row r="873" spans="8:8" ht="15.75" customHeight="1" x14ac:dyDescent="0.3">
      <c r="H873" s="71"/>
    </row>
    <row r="874" spans="8:8" ht="15.75" customHeight="1" x14ac:dyDescent="0.3">
      <c r="H874" s="71"/>
    </row>
    <row r="875" spans="8:8" ht="15.75" customHeight="1" x14ac:dyDescent="0.3">
      <c r="H875" s="71"/>
    </row>
    <row r="876" spans="8:8" ht="15.75" customHeight="1" x14ac:dyDescent="0.3">
      <c r="H876" s="71"/>
    </row>
    <row r="877" spans="8:8" ht="15.75" customHeight="1" x14ac:dyDescent="0.3">
      <c r="H877" s="71"/>
    </row>
    <row r="878" spans="8:8" ht="15.75" customHeight="1" x14ac:dyDescent="0.3">
      <c r="H878" s="71"/>
    </row>
    <row r="879" spans="8:8" ht="15.75" customHeight="1" x14ac:dyDescent="0.3">
      <c r="H879" s="71"/>
    </row>
    <row r="880" spans="8:8" ht="15.75" customHeight="1" x14ac:dyDescent="0.3">
      <c r="H880" s="71"/>
    </row>
    <row r="881" spans="8:8" ht="15.75" customHeight="1" x14ac:dyDescent="0.3">
      <c r="H881" s="71"/>
    </row>
    <row r="882" spans="8:8" ht="15.75" customHeight="1" x14ac:dyDescent="0.3">
      <c r="H882" s="71"/>
    </row>
    <row r="883" spans="8:8" ht="15.75" customHeight="1" x14ac:dyDescent="0.3">
      <c r="H883" s="71"/>
    </row>
    <row r="884" spans="8:8" ht="15.75" customHeight="1" x14ac:dyDescent="0.3">
      <c r="H884" s="71"/>
    </row>
    <row r="885" spans="8:8" ht="15.75" customHeight="1" x14ac:dyDescent="0.3">
      <c r="H885" s="71"/>
    </row>
    <row r="886" spans="8:8" ht="15.75" customHeight="1" x14ac:dyDescent="0.3">
      <c r="H886" s="71"/>
    </row>
    <row r="887" spans="8:8" ht="15.75" customHeight="1" x14ac:dyDescent="0.3">
      <c r="H887" s="71"/>
    </row>
    <row r="888" spans="8:8" ht="15.75" customHeight="1" x14ac:dyDescent="0.3">
      <c r="H888" s="71"/>
    </row>
    <row r="889" spans="8:8" ht="15.75" customHeight="1" x14ac:dyDescent="0.3">
      <c r="H889" s="71"/>
    </row>
    <row r="890" spans="8:8" ht="15.75" customHeight="1" x14ac:dyDescent="0.3">
      <c r="H890" s="71"/>
    </row>
    <row r="891" spans="8:8" ht="15.75" customHeight="1" x14ac:dyDescent="0.3">
      <c r="H891" s="71"/>
    </row>
    <row r="892" spans="8:8" ht="15.75" customHeight="1" x14ac:dyDescent="0.3">
      <c r="H892" s="71"/>
    </row>
    <row r="893" spans="8:8" ht="15.75" customHeight="1" x14ac:dyDescent="0.3">
      <c r="H893" s="71"/>
    </row>
    <row r="894" spans="8:8" ht="15.75" customHeight="1" x14ac:dyDescent="0.3">
      <c r="H894" s="71"/>
    </row>
    <row r="895" spans="8:8" ht="15.75" customHeight="1" x14ac:dyDescent="0.3">
      <c r="H895" s="71"/>
    </row>
    <row r="896" spans="8:8" ht="15.75" customHeight="1" x14ac:dyDescent="0.3">
      <c r="H896" s="71"/>
    </row>
    <row r="897" spans="8:8" ht="15.75" customHeight="1" x14ac:dyDescent="0.3">
      <c r="H897" s="71"/>
    </row>
    <row r="898" spans="8:8" ht="15.75" customHeight="1" x14ac:dyDescent="0.3">
      <c r="H898" s="71"/>
    </row>
    <row r="899" spans="8:8" ht="15.75" customHeight="1" x14ac:dyDescent="0.3">
      <c r="H899" s="71"/>
    </row>
    <row r="900" spans="8:8" ht="15.75" customHeight="1" x14ac:dyDescent="0.3">
      <c r="H900" s="71"/>
    </row>
    <row r="901" spans="8:8" ht="15.75" customHeight="1" x14ac:dyDescent="0.3">
      <c r="H901" s="71"/>
    </row>
    <row r="902" spans="8:8" ht="15.75" customHeight="1" x14ac:dyDescent="0.3">
      <c r="H902" s="71"/>
    </row>
    <row r="903" spans="8:8" ht="15.75" customHeight="1" x14ac:dyDescent="0.3">
      <c r="H903" s="71"/>
    </row>
    <row r="904" spans="8:8" ht="15.75" customHeight="1" x14ac:dyDescent="0.3">
      <c r="H904" s="71"/>
    </row>
    <row r="905" spans="8:8" ht="15.75" customHeight="1" x14ac:dyDescent="0.3">
      <c r="H905" s="71"/>
    </row>
    <row r="906" spans="8:8" ht="15.75" customHeight="1" x14ac:dyDescent="0.3">
      <c r="H906" s="71"/>
    </row>
    <row r="907" spans="8:8" ht="15.75" customHeight="1" x14ac:dyDescent="0.3">
      <c r="H907" s="71"/>
    </row>
    <row r="908" spans="8:8" ht="15.75" customHeight="1" x14ac:dyDescent="0.3">
      <c r="H908" s="71"/>
    </row>
    <row r="909" spans="8:8" ht="15.75" customHeight="1" x14ac:dyDescent="0.3">
      <c r="H909" s="71"/>
    </row>
    <row r="910" spans="8:8" ht="15.75" customHeight="1" x14ac:dyDescent="0.3">
      <c r="H910" s="71"/>
    </row>
    <row r="911" spans="8:8" ht="15.75" customHeight="1" x14ac:dyDescent="0.3">
      <c r="H911" s="71"/>
    </row>
    <row r="912" spans="8:8" ht="15.75" customHeight="1" x14ac:dyDescent="0.3">
      <c r="H912" s="71"/>
    </row>
    <row r="913" spans="8:8" ht="15.75" customHeight="1" x14ac:dyDescent="0.3">
      <c r="H913" s="71"/>
    </row>
    <row r="914" spans="8:8" ht="15.75" customHeight="1" x14ac:dyDescent="0.3">
      <c r="H914" s="71"/>
    </row>
    <row r="915" spans="8:8" ht="15.75" customHeight="1" x14ac:dyDescent="0.3">
      <c r="H915" s="71"/>
    </row>
    <row r="916" spans="8:8" ht="15.75" customHeight="1" x14ac:dyDescent="0.3">
      <c r="H916" s="71"/>
    </row>
    <row r="917" spans="8:8" ht="15.75" customHeight="1" x14ac:dyDescent="0.3">
      <c r="H917" s="71"/>
    </row>
    <row r="918" spans="8:8" ht="15.75" customHeight="1" x14ac:dyDescent="0.3">
      <c r="H918" s="71"/>
    </row>
    <row r="919" spans="8:8" ht="15.75" customHeight="1" x14ac:dyDescent="0.3">
      <c r="H919" s="71"/>
    </row>
    <row r="920" spans="8:8" ht="15.75" customHeight="1" x14ac:dyDescent="0.3">
      <c r="H920" s="71"/>
    </row>
    <row r="921" spans="8:8" ht="15.75" customHeight="1" x14ac:dyDescent="0.3">
      <c r="H921" s="71"/>
    </row>
    <row r="922" spans="8:8" ht="15.75" customHeight="1" x14ac:dyDescent="0.3">
      <c r="H922" s="71"/>
    </row>
    <row r="923" spans="8:8" ht="15.75" customHeight="1" x14ac:dyDescent="0.3">
      <c r="H923" s="71"/>
    </row>
    <row r="924" spans="8:8" ht="15.75" customHeight="1" x14ac:dyDescent="0.3">
      <c r="H924" s="71"/>
    </row>
    <row r="925" spans="8:8" ht="15.75" customHeight="1" x14ac:dyDescent="0.3">
      <c r="H925" s="71"/>
    </row>
    <row r="926" spans="8:8" ht="15.75" customHeight="1" x14ac:dyDescent="0.3">
      <c r="H926" s="71"/>
    </row>
    <row r="927" spans="8:8" ht="15.75" customHeight="1" x14ac:dyDescent="0.3">
      <c r="H927" s="71"/>
    </row>
    <row r="928" spans="8:8" ht="15.75" customHeight="1" x14ac:dyDescent="0.3">
      <c r="H928" s="71"/>
    </row>
    <row r="929" spans="8:8" ht="15.75" customHeight="1" x14ac:dyDescent="0.3">
      <c r="H929" s="71"/>
    </row>
    <row r="930" spans="8:8" ht="15.75" customHeight="1" x14ac:dyDescent="0.3">
      <c r="H930" s="71"/>
    </row>
    <row r="931" spans="8:8" ht="15.75" customHeight="1" x14ac:dyDescent="0.3">
      <c r="H931" s="71"/>
    </row>
    <row r="932" spans="8:8" ht="15.75" customHeight="1" x14ac:dyDescent="0.3">
      <c r="H932" s="71"/>
    </row>
    <row r="933" spans="8:8" ht="15.75" customHeight="1" x14ac:dyDescent="0.3">
      <c r="H933" s="71"/>
    </row>
    <row r="934" spans="8:8" ht="15.75" customHeight="1" x14ac:dyDescent="0.3">
      <c r="H934" s="71"/>
    </row>
    <row r="935" spans="8:8" ht="15.75" customHeight="1" x14ac:dyDescent="0.3">
      <c r="H935" s="71"/>
    </row>
    <row r="936" spans="8:8" ht="15.75" customHeight="1" x14ac:dyDescent="0.3">
      <c r="H936" s="71"/>
    </row>
    <row r="937" spans="8:8" ht="15.75" customHeight="1" x14ac:dyDescent="0.3">
      <c r="H937" s="71"/>
    </row>
    <row r="938" spans="8:8" ht="15.75" customHeight="1" x14ac:dyDescent="0.3">
      <c r="H938" s="71"/>
    </row>
    <row r="939" spans="8:8" ht="15.75" customHeight="1" x14ac:dyDescent="0.3">
      <c r="H939" s="71"/>
    </row>
    <row r="940" spans="8:8" ht="15.75" customHeight="1" x14ac:dyDescent="0.3">
      <c r="H940" s="71"/>
    </row>
    <row r="941" spans="8:8" ht="15.75" customHeight="1" x14ac:dyDescent="0.3">
      <c r="H941" s="71"/>
    </row>
    <row r="942" spans="8:8" ht="15.75" customHeight="1" x14ac:dyDescent="0.3">
      <c r="H942" s="71"/>
    </row>
    <row r="943" spans="8:8" ht="15.75" customHeight="1" x14ac:dyDescent="0.3">
      <c r="H943" s="71"/>
    </row>
  </sheetData>
  <mergeCells count="103">
    <mergeCell ref="Z154:Z156"/>
    <mergeCell ref="M144:M146"/>
    <mergeCell ref="L150:L151"/>
    <mergeCell ref="M150:M151"/>
    <mergeCell ref="I153:I154"/>
    <mergeCell ref="J153:J154"/>
    <mergeCell ref="I155:I156"/>
    <mergeCell ref="J155:J156"/>
    <mergeCell ref="B115:C115"/>
    <mergeCell ref="B116:C116"/>
    <mergeCell ref="D116:H116"/>
    <mergeCell ref="B118:I118"/>
    <mergeCell ref="B95:J95"/>
    <mergeCell ref="B90:E90"/>
    <mergeCell ref="B87:E87"/>
    <mergeCell ref="B109:F109"/>
    <mergeCell ref="B111:I111"/>
    <mergeCell ref="V153:V156"/>
    <mergeCell ref="L158:L159"/>
    <mergeCell ref="B120:J120"/>
    <mergeCell ref="L144:L146"/>
    <mergeCell ref="E139:H139"/>
    <mergeCell ref="E151:H151"/>
    <mergeCell ref="E136:F136"/>
    <mergeCell ref="B136:D136"/>
    <mergeCell ref="H136:I136"/>
    <mergeCell ref="B134:J134"/>
    <mergeCell ref="B103:E103"/>
    <mergeCell ref="B96:E96"/>
    <mergeCell ref="B97:E97"/>
    <mergeCell ref="B98:E98"/>
    <mergeCell ref="D115:H115"/>
    <mergeCell ref="B93:I93"/>
    <mergeCell ref="B106:I106"/>
    <mergeCell ref="B91:E91"/>
    <mergeCell ref="B70:E70"/>
    <mergeCell ref="B71:E71"/>
    <mergeCell ref="B72:E72"/>
    <mergeCell ref="B74:E74"/>
    <mergeCell ref="B73:E73"/>
    <mergeCell ref="B78:E78"/>
    <mergeCell ref="B79:E79"/>
    <mergeCell ref="B80:E80"/>
    <mergeCell ref="B81:E81"/>
    <mergeCell ref="B82:E82"/>
    <mergeCell ref="B83:E83"/>
    <mergeCell ref="B86:J86"/>
    <mergeCell ref="B12:J12"/>
    <mergeCell ref="B13:J13"/>
    <mergeCell ref="B14:J14"/>
    <mergeCell ref="B16:J16"/>
    <mergeCell ref="B69:E69"/>
    <mergeCell ref="B114:C114"/>
    <mergeCell ref="D114:H114"/>
    <mergeCell ref="B104:E104"/>
    <mergeCell ref="B105:E105"/>
    <mergeCell ref="B110:F110"/>
    <mergeCell ref="B113:J113"/>
    <mergeCell ref="B100:E100"/>
    <mergeCell ref="B92:E92"/>
    <mergeCell ref="B108:J108"/>
    <mergeCell ref="B75:I75"/>
    <mergeCell ref="B84:I84"/>
    <mergeCell ref="B99:E99"/>
    <mergeCell ref="B101:E101"/>
    <mergeCell ref="B102:E102"/>
    <mergeCell ref="B88:E88"/>
    <mergeCell ref="B77:J77"/>
    <mergeCell ref="B52:E52"/>
    <mergeCell ref="B56:J56"/>
    <mergeCell ref="B57:E57"/>
    <mergeCell ref="B54:I54"/>
    <mergeCell ref="B60:F60"/>
    <mergeCell ref="B51:E51"/>
    <mergeCell ref="B46:I46"/>
    <mergeCell ref="B41:F41"/>
    <mergeCell ref="B48:J48"/>
    <mergeCell ref="B49:E49"/>
    <mergeCell ref="B50:E50"/>
    <mergeCell ref="B40:E40"/>
    <mergeCell ref="D8:H8"/>
    <mergeCell ref="H109:I109"/>
    <mergeCell ref="H110:I110"/>
    <mergeCell ref="B68:E68"/>
    <mergeCell ref="C3:J3"/>
    <mergeCell ref="B2:J2"/>
    <mergeCell ref="K121:K122"/>
    <mergeCell ref="B4:J4"/>
    <mergeCell ref="B5:J6"/>
    <mergeCell ref="B7:C7"/>
    <mergeCell ref="D7:H7"/>
    <mergeCell ref="B43:F43"/>
    <mergeCell ref="B10:J10"/>
    <mergeCell ref="I11:J11"/>
    <mergeCell ref="B11:D11"/>
    <mergeCell ref="B44:F44"/>
    <mergeCell ref="B64:J64"/>
    <mergeCell ref="B65:E65"/>
    <mergeCell ref="B66:E66"/>
    <mergeCell ref="B67:E67"/>
    <mergeCell ref="B58:E58"/>
    <mergeCell ref="B59:E59"/>
    <mergeCell ref="B62:I62"/>
  </mergeCells>
  <phoneticPr fontId="3" type="noConversion"/>
  <conditionalFormatting sqref="J124">
    <cfRule type="cellIs" dxfId="25" priority="2" operator="lessThan">
      <formula>0.42</formula>
    </cfRule>
    <cfRule type="aboveAverage" dxfId="24" priority="3" stopIfTrue="1" aboveAverage="0"/>
  </conditionalFormatting>
  <dataValidations count="3">
    <dataValidation type="list" allowBlank="1" showInputMessage="1" showErrorMessage="1" sqref="H41 F99 F102:F105 F97" xr:uid="{8275CD06-EF8E-47D2-BAB8-8330DC62763C}">
      <formula1>"Sim,Não"</formula1>
    </dataValidation>
    <dataValidation type="list" allowBlank="1" showInputMessage="1" showErrorMessage="1" sqref="E136" xr:uid="{49091B35-81C6-4746-A626-6BB050CC2583}">
      <formula1>"Imediato,30 dias, 60 dias, 90 dias"</formula1>
    </dataValidation>
    <dataValidation type="list" allowBlank="1" showInputMessage="1" showErrorMessage="1" sqref="B17" xr:uid="{ECE56A3E-07D0-4D8D-97C1-E18CC4F72B5A}">
      <formula1>$A$20:$A$23</formula1>
    </dataValidation>
  </dataValidations>
  <pageMargins left="0.7" right="0.7" top="0.75" bottom="0.75" header="0" footer="0"/>
  <pageSetup orientation="landscape" r:id="rId1"/>
  <ignoredErrors>
    <ignoredError sqref="G80 J9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94" r:id="rId4" name="Check Box 5186">
              <controlPr defaultSize="0" autoFill="0" autoLine="0" autoPict="0">
                <anchor moveWithCells="1">
                  <from>
                    <xdr:col>5</xdr:col>
                    <xdr:colOff>182880</xdr:colOff>
                    <xdr:row>10</xdr:row>
                    <xdr:rowOff>38100</xdr:rowOff>
                  </from>
                  <to>
                    <xdr:col>5</xdr:col>
                    <xdr:colOff>533400</xdr:colOff>
                    <xdr:row>10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5" name="Check Box 5187">
              <controlPr defaultSize="0" autoFill="0" autoLine="0" autoPict="0">
                <anchor moveWithCells="1">
                  <from>
                    <xdr:col>7</xdr:col>
                    <xdr:colOff>60960</xdr:colOff>
                    <xdr:row>10</xdr:row>
                    <xdr:rowOff>22860</xdr:rowOff>
                  </from>
                  <to>
                    <xdr:col>7</xdr:col>
                    <xdr:colOff>411480</xdr:colOff>
                    <xdr:row>10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0" r:id="rId6" name="Drop Down 5202">
              <controlPr defaultSize="0" autoLine="0" autoPict="0" macro="[0]!filtro_especial">
                <anchor moveWithCells="1">
                  <from>
                    <xdr:col>1</xdr:col>
                    <xdr:colOff>38100</xdr:colOff>
                    <xdr:row>16</xdr:row>
                    <xdr:rowOff>30480</xdr:rowOff>
                  </from>
                  <to>
                    <xdr:col>1</xdr:col>
                    <xdr:colOff>1021080</xdr:colOff>
                    <xdr:row>16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F334F-5368-4E07-8C35-521FBE79ADA6}">
  <sheetPr codeName="Planilha5"/>
  <dimension ref="B1:M39"/>
  <sheetViews>
    <sheetView showGridLines="0" workbookViewId="0">
      <selection activeCell="I33" sqref="I33"/>
    </sheetView>
  </sheetViews>
  <sheetFormatPr defaultRowHeight="14.4" x14ac:dyDescent="0.3"/>
  <cols>
    <col min="2" max="2" width="6.109375" style="85" bestFit="1" customWidth="1"/>
    <col min="3" max="3" width="13.109375" style="85" bestFit="1" customWidth="1"/>
    <col min="4" max="4" width="3.6640625" style="85" bestFit="1" customWidth="1"/>
    <col min="5" max="5" width="14.33203125" style="85" customWidth="1"/>
    <col min="6" max="6" width="10.6640625" style="85" bestFit="1" customWidth="1"/>
    <col min="7" max="7" width="9" style="85" customWidth="1"/>
    <col min="8" max="8" width="14.33203125" bestFit="1" customWidth="1"/>
    <col min="10" max="10" width="14.33203125" bestFit="1" customWidth="1"/>
    <col min="12" max="12" width="15" customWidth="1"/>
    <col min="13" max="13" width="18.5546875" customWidth="1"/>
  </cols>
  <sheetData>
    <row r="1" spans="2:11" ht="15" thickBot="1" x14ac:dyDescent="0.35"/>
    <row r="2" spans="2:11" ht="15.6" thickTop="1" thickBot="1" x14ac:dyDescent="0.35">
      <c r="B2" s="741" t="s">
        <v>276</v>
      </c>
      <c r="C2" s="742"/>
      <c r="D2" s="742"/>
      <c r="E2" s="742"/>
      <c r="F2" s="742"/>
      <c r="G2" s="743"/>
      <c r="H2" t="s">
        <v>290</v>
      </c>
      <c r="I2" t="s">
        <v>291</v>
      </c>
    </row>
    <row r="3" spans="2:11" ht="15" thickBot="1" x14ac:dyDescent="0.35">
      <c r="B3" s="401">
        <f>SUM(H4:H10)</f>
        <v>1.7500000000000002E-2</v>
      </c>
      <c r="C3" s="744" t="s">
        <v>293</v>
      </c>
      <c r="D3" s="744"/>
      <c r="E3" s="404">
        <f>SERVIÇOS!J122</f>
        <v>255699</v>
      </c>
      <c r="F3" s="409"/>
      <c r="G3" s="403">
        <f>IFERROR(SERVIÇOS!J124,0)</f>
        <v>0.55304071290853707</v>
      </c>
      <c r="H3" s="399">
        <f>SERVIÇOS!J122</f>
        <v>255699</v>
      </c>
      <c r="I3" s="109">
        <f>IFERROR(SERVIÇOS!J124,0)</f>
        <v>0.55304071290853707</v>
      </c>
      <c r="J3" s="399"/>
      <c r="K3" s="109"/>
    </row>
    <row r="4" spans="2:11" ht="15" thickBot="1" x14ac:dyDescent="0.35">
      <c r="B4" s="412" t="s">
        <v>279</v>
      </c>
      <c r="C4" s="405">
        <v>100</v>
      </c>
      <c r="D4" s="406" t="s">
        <v>279</v>
      </c>
      <c r="E4" s="413">
        <v>100000</v>
      </c>
      <c r="F4" s="410" t="s">
        <v>289</v>
      </c>
      <c r="G4" s="414">
        <v>2.5000000000000001E-2</v>
      </c>
      <c r="H4" s="400">
        <f>IF(AND($H$3&gt;C4,$H$3&lt;E4,$I$3&gt;=0.42,$I$3&lt;0.5),G4,)</f>
        <v>0</v>
      </c>
      <c r="I4" s="431">
        <f>IF(AND($H$3&gt;C4,$H$3&lt;E4),1,)</f>
        <v>0</v>
      </c>
    </row>
    <row r="5" spans="2:11" ht="15" thickBot="1" x14ac:dyDescent="0.35">
      <c r="B5" s="412" t="s">
        <v>279</v>
      </c>
      <c r="C5" s="405">
        <v>100</v>
      </c>
      <c r="D5" s="406" t="s">
        <v>279</v>
      </c>
      <c r="E5" s="413">
        <v>100000</v>
      </c>
      <c r="F5" s="410" t="s">
        <v>285</v>
      </c>
      <c r="G5" s="414">
        <v>0.04</v>
      </c>
      <c r="H5" s="400">
        <f>IF(AND($H$3&gt;C5,$H$3&lt;E5,$I$3&gt;=0.5),G5,)</f>
        <v>0</v>
      </c>
      <c r="I5" s="431">
        <f t="shared" ref="I5:I10" si="0">IF(AND($H$3&gt;C5,$H$3&lt;E5),1,)</f>
        <v>0</v>
      </c>
    </row>
    <row r="6" spans="2:11" ht="15" thickBot="1" x14ac:dyDescent="0.35">
      <c r="B6" s="412" t="s">
        <v>279</v>
      </c>
      <c r="C6" s="405">
        <v>100000.01</v>
      </c>
      <c r="D6" s="406" t="s">
        <v>279</v>
      </c>
      <c r="E6" s="413">
        <v>250000</v>
      </c>
      <c r="F6" s="410" t="s">
        <v>284</v>
      </c>
      <c r="G6" s="414">
        <v>2.1999999999999999E-2</v>
      </c>
      <c r="H6" s="400">
        <f>IF(AND($H$3&gt;C6,$H$3&lt;E6,$I$3&gt;=0.42,$I$3&lt;0.5),G6,)</f>
        <v>0</v>
      </c>
      <c r="I6" s="431">
        <f t="shared" si="0"/>
        <v>0</v>
      </c>
    </row>
    <row r="7" spans="2:11" ht="15" thickBot="1" x14ac:dyDescent="0.35">
      <c r="B7" s="412" t="s">
        <v>279</v>
      </c>
      <c r="C7" s="405">
        <v>100000.01</v>
      </c>
      <c r="D7" s="406" t="s">
        <v>279</v>
      </c>
      <c r="E7" s="413">
        <v>250000</v>
      </c>
      <c r="F7" s="410" t="s">
        <v>285</v>
      </c>
      <c r="G7" s="414">
        <v>1.9E-2</v>
      </c>
      <c r="H7" s="400">
        <f>IF(AND($H$3&gt;C7,$H$3&lt;E7,$I$3&gt;=0.5),G7,)</f>
        <v>0</v>
      </c>
      <c r="I7" s="431">
        <f t="shared" si="0"/>
        <v>0</v>
      </c>
    </row>
    <row r="8" spans="2:11" ht="15" thickBot="1" x14ac:dyDescent="0.35">
      <c r="B8" s="412" t="s">
        <v>279</v>
      </c>
      <c r="C8" s="405">
        <v>250000.01</v>
      </c>
      <c r="D8" s="406" t="s">
        <v>279</v>
      </c>
      <c r="E8" s="413">
        <v>500000</v>
      </c>
      <c r="F8" s="410" t="s">
        <v>286</v>
      </c>
      <c r="G8" s="414">
        <v>1.7500000000000002E-2</v>
      </c>
      <c r="H8" s="400">
        <f>IF(AND($H$3&gt;C8,$H$3&lt;E8,$I$3&gt;=0.45),G8,)</f>
        <v>1.7500000000000002E-2</v>
      </c>
      <c r="I8" s="431">
        <f t="shared" si="0"/>
        <v>1</v>
      </c>
    </row>
    <row r="9" spans="2:11" ht="15" thickBot="1" x14ac:dyDescent="0.35">
      <c r="B9" s="412" t="s">
        <v>279</v>
      </c>
      <c r="C9" s="405">
        <v>500000.01</v>
      </c>
      <c r="D9" s="406" t="s">
        <v>279</v>
      </c>
      <c r="E9" s="413">
        <v>1000000</v>
      </c>
      <c r="F9" s="410" t="s">
        <v>287</v>
      </c>
      <c r="G9" s="414">
        <v>1.4999999999999999E-2</v>
      </c>
      <c r="H9" s="400">
        <f>IF(AND($H$3&gt;C9,$H$3&lt;E9,$I$3&gt;=0.35),G9,)</f>
        <v>0</v>
      </c>
      <c r="I9" s="431">
        <f t="shared" si="0"/>
        <v>0</v>
      </c>
    </row>
    <row r="10" spans="2:11" ht="15" thickBot="1" x14ac:dyDescent="0.35">
      <c r="B10" s="415" t="s">
        <v>279</v>
      </c>
      <c r="C10" s="407">
        <v>1000000</v>
      </c>
      <c r="D10" s="408" t="s">
        <v>279</v>
      </c>
      <c r="E10" s="416">
        <v>10000000</v>
      </c>
      <c r="F10" s="411" t="s">
        <v>288</v>
      </c>
      <c r="G10" s="417">
        <v>1.2500000000000001E-2</v>
      </c>
      <c r="H10" s="400">
        <f>IF(AND($H$3&gt;C10,$H$3&lt;E10,$I$3&gt;=0.3),G10,)</f>
        <v>0</v>
      </c>
      <c r="I10" s="431">
        <f t="shared" si="0"/>
        <v>0</v>
      </c>
    </row>
    <row r="11" spans="2:11" ht="5.25" customHeight="1" thickTop="1" thickBot="1" x14ac:dyDescent="0.35"/>
    <row r="12" spans="2:11" ht="15.6" thickTop="1" thickBot="1" x14ac:dyDescent="0.35">
      <c r="B12" s="741" t="s">
        <v>277</v>
      </c>
      <c r="C12" s="742"/>
      <c r="D12" s="742"/>
      <c r="E12" s="742"/>
      <c r="F12" s="742"/>
      <c r="G12" s="743"/>
      <c r="H12" t="s">
        <v>290</v>
      </c>
      <c r="I12" t="s">
        <v>291</v>
      </c>
    </row>
    <row r="13" spans="2:11" ht="15" thickBot="1" x14ac:dyDescent="0.35">
      <c r="B13" s="401">
        <f>SUM(H14:H28)</f>
        <v>0</v>
      </c>
      <c r="C13" s="744" t="s">
        <v>293</v>
      </c>
      <c r="D13" s="744"/>
      <c r="E13" s="402">
        <f>SERVIÇOS!J126</f>
        <v>0</v>
      </c>
      <c r="F13" s="409" t="s">
        <v>292</v>
      </c>
      <c r="G13" s="403">
        <f>IFERROR(SERVIÇOS!J128,0)</f>
        <v>0</v>
      </c>
      <c r="H13" s="399">
        <f>PRODUTOS!J96</f>
        <v>0</v>
      </c>
      <c r="I13" s="109">
        <f>IFERROR(SERVIÇOS!J128,0)</f>
        <v>0</v>
      </c>
      <c r="J13" s="399"/>
      <c r="K13" s="109"/>
    </row>
    <row r="14" spans="2:11" ht="15" thickBot="1" x14ac:dyDescent="0.35">
      <c r="B14" s="425" t="s">
        <v>279</v>
      </c>
      <c r="C14" s="418">
        <v>100</v>
      </c>
      <c r="D14" s="419" t="s">
        <v>279</v>
      </c>
      <c r="E14" s="426">
        <v>100000</v>
      </c>
      <c r="F14" s="423" t="s">
        <v>278</v>
      </c>
      <c r="G14" s="427">
        <v>5.0000000000000001E-3</v>
      </c>
      <c r="H14" s="400">
        <f>IF(AND($H$13&gt;C14,$H$13&lt;E14,$I$13&gt;=0.2,$I$13&lt;0.25),G14,)</f>
        <v>0</v>
      </c>
      <c r="I14" s="431">
        <f>IF(AND($H$13&gt;C14,$H$13&lt;=E14),1,)</f>
        <v>0</v>
      </c>
    </row>
    <row r="15" spans="2:11" ht="15" thickBot="1" x14ac:dyDescent="0.35">
      <c r="B15" s="425" t="s">
        <v>279</v>
      </c>
      <c r="C15" s="418">
        <v>100</v>
      </c>
      <c r="D15" s="419" t="s">
        <v>279</v>
      </c>
      <c r="E15" s="426">
        <v>100000</v>
      </c>
      <c r="F15" s="423" t="s">
        <v>280</v>
      </c>
      <c r="G15" s="427">
        <v>1.7500000000000002E-2</v>
      </c>
      <c r="H15" s="400">
        <f>IF(AND($H$13&gt;C15,$H$13&lt;E15,$I$13&gt;=0.25,$I$13&lt;0.4),G15,)</f>
        <v>0</v>
      </c>
      <c r="I15" s="431">
        <f t="shared" ref="I15:I28" si="1">IF(AND($H$13&gt;C15,$H$13&lt;=E15),1,)</f>
        <v>0</v>
      </c>
    </row>
    <row r="16" spans="2:11" ht="15" thickBot="1" x14ac:dyDescent="0.35">
      <c r="B16" s="425" t="s">
        <v>279</v>
      </c>
      <c r="C16" s="418">
        <v>100</v>
      </c>
      <c r="D16" s="419" t="s">
        <v>279</v>
      </c>
      <c r="E16" s="426">
        <v>100000</v>
      </c>
      <c r="F16" s="423" t="s">
        <v>281</v>
      </c>
      <c r="G16" s="427">
        <v>2.5000000000000001E-2</v>
      </c>
      <c r="H16" s="400">
        <f>IF(AND($H$13&gt;C16,$H$13&lt;=E16,$I$13&gt;=0.4),G16,)</f>
        <v>0</v>
      </c>
      <c r="I16" s="431">
        <f t="shared" si="1"/>
        <v>0</v>
      </c>
    </row>
    <row r="17" spans="2:13" ht="15" thickBot="1" x14ac:dyDescent="0.35">
      <c r="B17" s="425" t="s">
        <v>279</v>
      </c>
      <c r="C17" s="420">
        <v>100000.01</v>
      </c>
      <c r="D17" s="419" t="s">
        <v>279</v>
      </c>
      <c r="E17" s="426">
        <v>200000</v>
      </c>
      <c r="F17" s="423" t="s">
        <v>278</v>
      </c>
      <c r="G17" s="427">
        <v>5.0000000000000001E-3</v>
      </c>
      <c r="H17" s="400">
        <f>IF(AND($H$13&gt;C17,$H$13&lt;E17,$I$13&gt;=0.2,$I$13&lt;0.25),G17,)</f>
        <v>0</v>
      </c>
      <c r="I17" s="431">
        <f t="shared" si="1"/>
        <v>0</v>
      </c>
    </row>
    <row r="18" spans="2:13" ht="15" thickBot="1" x14ac:dyDescent="0.35">
      <c r="B18" s="425" t="s">
        <v>279</v>
      </c>
      <c r="C18" s="420">
        <v>100000.01</v>
      </c>
      <c r="D18" s="419" t="s">
        <v>279</v>
      </c>
      <c r="E18" s="426">
        <v>200000</v>
      </c>
      <c r="F18" s="423" t="s">
        <v>280</v>
      </c>
      <c r="G18" s="427">
        <v>1.7500000000000002E-2</v>
      </c>
      <c r="H18" s="400">
        <f>IF(AND($H$13&gt;C18,$H$13&lt;E18,$I$13&gt;=0.25,$I$13&lt;0.4),G18,)</f>
        <v>0</v>
      </c>
      <c r="I18" s="431">
        <f t="shared" si="1"/>
        <v>0</v>
      </c>
    </row>
    <row r="19" spans="2:13" ht="15" thickBot="1" x14ac:dyDescent="0.35">
      <c r="B19" s="425" t="s">
        <v>279</v>
      </c>
      <c r="C19" s="420">
        <v>100000.01</v>
      </c>
      <c r="D19" s="419" t="s">
        <v>279</v>
      </c>
      <c r="E19" s="426">
        <v>200000</v>
      </c>
      <c r="F19" s="423" t="s">
        <v>281</v>
      </c>
      <c r="G19" s="427">
        <v>2.5000000000000001E-2</v>
      </c>
      <c r="H19" s="400">
        <f>IF(AND($H$13&gt;C19,$H$13&lt;E19,$I$13&gt;=0.4),G19,)</f>
        <v>0</v>
      </c>
      <c r="I19" s="431">
        <f t="shared" si="1"/>
        <v>0</v>
      </c>
    </row>
    <row r="20" spans="2:13" ht="15" thickBot="1" x14ac:dyDescent="0.35">
      <c r="B20" s="425" t="s">
        <v>279</v>
      </c>
      <c r="C20" s="420">
        <v>200000.01</v>
      </c>
      <c r="D20" s="419" t="s">
        <v>279</v>
      </c>
      <c r="E20" s="426">
        <v>500000</v>
      </c>
      <c r="F20" s="423" t="s">
        <v>282</v>
      </c>
      <c r="G20" s="427">
        <v>7.4999999999999997E-3</v>
      </c>
      <c r="H20" s="400">
        <f>IF(AND($H$13&gt;C20,$H$13&lt;E20,$I$13&lt;0.2),G20,)</f>
        <v>0</v>
      </c>
      <c r="I20" s="431">
        <f t="shared" si="1"/>
        <v>0</v>
      </c>
    </row>
    <row r="21" spans="2:13" ht="15" thickBot="1" x14ac:dyDescent="0.35">
      <c r="B21" s="425" t="s">
        <v>279</v>
      </c>
      <c r="C21" s="420">
        <v>200000.01</v>
      </c>
      <c r="D21" s="419" t="s">
        <v>279</v>
      </c>
      <c r="E21" s="426">
        <v>500000</v>
      </c>
      <c r="F21" s="423" t="s">
        <v>283</v>
      </c>
      <c r="G21" s="427">
        <v>1.4999999999999999E-2</v>
      </c>
      <c r="H21" s="400">
        <f>IF(AND($H$13&gt;C21,$H$13&lt;E21,$I$13&gt;=0.2,$I$13&lt;0.4),G21,)</f>
        <v>0</v>
      </c>
      <c r="I21" s="431">
        <f t="shared" si="1"/>
        <v>0</v>
      </c>
    </row>
    <row r="22" spans="2:13" ht="15" thickBot="1" x14ac:dyDescent="0.35">
      <c r="B22" s="425" t="s">
        <v>279</v>
      </c>
      <c r="C22" s="420">
        <v>200000.01</v>
      </c>
      <c r="D22" s="419" t="s">
        <v>279</v>
      </c>
      <c r="E22" s="426">
        <v>500000</v>
      </c>
      <c r="F22" s="423" t="s">
        <v>281</v>
      </c>
      <c r="G22" s="427">
        <v>2.5000000000000001E-2</v>
      </c>
      <c r="H22" s="400">
        <f>IF(AND($H$13&gt;C22,$H$13&lt;E22,$I$13&gt;=0.4),G22,)</f>
        <v>0</v>
      </c>
      <c r="I22" s="431">
        <f t="shared" si="1"/>
        <v>0</v>
      </c>
    </row>
    <row r="23" spans="2:13" ht="15" thickBot="1" x14ac:dyDescent="0.35">
      <c r="B23" s="425" t="s">
        <v>279</v>
      </c>
      <c r="C23" s="420">
        <v>500000.01</v>
      </c>
      <c r="D23" s="419" t="s">
        <v>279</v>
      </c>
      <c r="E23" s="426">
        <v>1000000</v>
      </c>
      <c r="F23" s="423" t="s">
        <v>282</v>
      </c>
      <c r="G23" s="427">
        <v>0.01</v>
      </c>
      <c r="H23" s="400">
        <f>IF(AND($H$13&gt;C23,$H$13&lt;E23,$I$13&lt;0.2),G23,)</f>
        <v>0</v>
      </c>
      <c r="I23" s="431">
        <f t="shared" si="1"/>
        <v>0</v>
      </c>
    </row>
    <row r="24" spans="2:13" ht="15" thickBot="1" x14ac:dyDescent="0.35">
      <c r="B24" s="425" t="s">
        <v>279</v>
      </c>
      <c r="C24" s="420">
        <v>500000.01</v>
      </c>
      <c r="D24" s="419" t="s">
        <v>279</v>
      </c>
      <c r="E24" s="426">
        <v>1000000</v>
      </c>
      <c r="F24" s="423" t="s">
        <v>283</v>
      </c>
      <c r="G24" s="427">
        <v>0.02</v>
      </c>
      <c r="H24" s="400">
        <f>IF(AND($H$13&gt;C24,$H$13&lt;E24,$I$13&gt;=0.2,$I$13&lt;0.4),G24,)</f>
        <v>0</v>
      </c>
      <c r="I24" s="431">
        <f t="shared" si="1"/>
        <v>0</v>
      </c>
    </row>
    <row r="25" spans="2:13" ht="15" thickBot="1" x14ac:dyDescent="0.35">
      <c r="B25" s="425" t="s">
        <v>279</v>
      </c>
      <c r="C25" s="420">
        <v>500000.01</v>
      </c>
      <c r="D25" s="419" t="s">
        <v>279</v>
      </c>
      <c r="E25" s="426">
        <v>1000000</v>
      </c>
      <c r="F25" s="423" t="s">
        <v>281</v>
      </c>
      <c r="G25" s="427">
        <v>2.5000000000000001E-2</v>
      </c>
      <c r="H25" s="400">
        <f>IF(AND($H$13&gt;C25,$H$13&lt;E25,$I$13&gt;=0.4),G25,)</f>
        <v>0</v>
      </c>
      <c r="I25" s="431">
        <f t="shared" si="1"/>
        <v>0</v>
      </c>
    </row>
    <row r="26" spans="2:13" ht="15" thickBot="1" x14ac:dyDescent="0.35">
      <c r="B26" s="425" t="s">
        <v>279</v>
      </c>
      <c r="C26" s="420">
        <v>1000000</v>
      </c>
      <c r="D26" s="419" t="s">
        <v>279</v>
      </c>
      <c r="E26" s="426">
        <v>10000000</v>
      </c>
      <c r="F26" s="423" t="s">
        <v>282</v>
      </c>
      <c r="G26" s="427">
        <v>1.4999999999999999E-2</v>
      </c>
      <c r="H26" s="400">
        <f>IF(AND($H$13&gt;C26,$H$13&lt;E26,$I$13&lt;0.2),G26,)</f>
        <v>0</v>
      </c>
      <c r="I26" s="431">
        <f t="shared" si="1"/>
        <v>0</v>
      </c>
    </row>
    <row r="27" spans="2:13" ht="15" thickBot="1" x14ac:dyDescent="0.35">
      <c r="B27" s="425" t="s">
        <v>279</v>
      </c>
      <c r="C27" s="420">
        <v>1000000</v>
      </c>
      <c r="D27" s="419" t="s">
        <v>279</v>
      </c>
      <c r="E27" s="426">
        <v>10000000</v>
      </c>
      <c r="F27" s="423" t="s">
        <v>283</v>
      </c>
      <c r="G27" s="427">
        <v>0.02</v>
      </c>
      <c r="H27" s="400">
        <f>IF(AND($H$13&gt;C27,$H$13&lt;E27,$I$13&gt;=0.2,$I$13&lt;0.4),G27,)</f>
        <v>0</v>
      </c>
      <c r="I27" s="431">
        <f t="shared" si="1"/>
        <v>0</v>
      </c>
    </row>
    <row r="28" spans="2:13" ht="15" thickBot="1" x14ac:dyDescent="0.35">
      <c r="B28" s="428" t="s">
        <v>279</v>
      </c>
      <c r="C28" s="421">
        <v>1000000</v>
      </c>
      <c r="D28" s="422" t="s">
        <v>279</v>
      </c>
      <c r="E28" s="429">
        <v>10000000</v>
      </c>
      <c r="F28" s="424" t="s">
        <v>281</v>
      </c>
      <c r="G28" s="430">
        <v>2.5000000000000001E-2</v>
      </c>
      <c r="H28" s="400">
        <f>IF(AND($H$13&gt;C28,$H$13&lt;E28,$I$13&gt;=0.4),G28,)</f>
        <v>0</v>
      </c>
      <c r="I28" s="431">
        <f t="shared" si="1"/>
        <v>0</v>
      </c>
    </row>
    <row r="29" spans="2:13" ht="15" thickTop="1" x14ac:dyDescent="0.3"/>
    <row r="31" spans="2:13" ht="18" x14ac:dyDescent="0.3">
      <c r="L31" s="524" t="s">
        <v>309</v>
      </c>
      <c r="M31" s="524"/>
    </row>
    <row r="32" spans="2:13" ht="18" x14ac:dyDescent="0.35">
      <c r="L32" s="525" t="s">
        <v>127</v>
      </c>
      <c r="M32" s="526">
        <f>COMISSÃO_SERVIÇOS</f>
        <v>1.7500000000000002E-2</v>
      </c>
    </row>
    <row r="33" spans="12:13" ht="18" x14ac:dyDescent="0.35">
      <c r="L33" s="525" t="s">
        <v>310</v>
      </c>
      <c r="M33" s="527">
        <f>ROUNDUP(SERVIÇOS!J123*M32,0)</f>
        <v>2475</v>
      </c>
    </row>
    <row r="34" spans="12:13" ht="18" x14ac:dyDescent="0.3">
      <c r="L34" s="524" t="s">
        <v>308</v>
      </c>
      <c r="M34" s="524"/>
    </row>
    <row r="35" spans="12:13" ht="18" x14ac:dyDescent="0.35">
      <c r="L35" s="525" t="s">
        <v>127</v>
      </c>
      <c r="M35" s="526">
        <f>COMISSÃO_MATERIAIS</f>
        <v>0</v>
      </c>
    </row>
    <row r="36" spans="12:13" ht="18" x14ac:dyDescent="0.35">
      <c r="L36" s="525" t="s">
        <v>310</v>
      </c>
      <c r="M36" s="527">
        <f>SERVIÇOS!J127*M35</f>
        <v>0</v>
      </c>
    </row>
    <row r="37" spans="12:13" ht="18" x14ac:dyDescent="0.3">
      <c r="L37" s="524" t="s">
        <v>275</v>
      </c>
      <c r="M37" s="524"/>
    </row>
    <row r="38" spans="12:13" x14ac:dyDescent="0.3">
      <c r="L38" s="737">
        <f>M33+M36</f>
        <v>2475</v>
      </c>
      <c r="M38" s="738"/>
    </row>
    <row r="39" spans="12:13" x14ac:dyDescent="0.3">
      <c r="L39" s="739"/>
      <c r="M39" s="740"/>
    </row>
  </sheetData>
  <mergeCells count="5">
    <mergeCell ref="L38:M39"/>
    <mergeCell ref="B12:G12"/>
    <mergeCell ref="B2:G2"/>
    <mergeCell ref="C3:D3"/>
    <mergeCell ref="C13:D13"/>
  </mergeCells>
  <phoneticPr fontId="3" type="noConversion"/>
  <conditionalFormatting sqref="F4:G10">
    <cfRule type="expression" dxfId="5" priority="3">
      <formula>$H4&gt;0</formula>
    </cfRule>
  </conditionalFormatting>
  <conditionalFormatting sqref="F14:G28">
    <cfRule type="expression" dxfId="4" priority="4">
      <formula>$H14&gt;0</formula>
    </cfRule>
  </conditionalFormatting>
  <conditionalFormatting sqref="B14:E28">
    <cfRule type="expression" dxfId="3" priority="1">
      <formula>$I14=1</formula>
    </cfRule>
  </conditionalFormatting>
  <conditionalFormatting sqref="B4:E10">
    <cfRule type="expression" dxfId="2" priority="2">
      <formula>$I4=1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H11:I12 H3 H4 H5:H10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D1CCF-1222-4946-A7AA-E241461E1DA0}">
  <sheetPr codeName="Planilha4">
    <tabColor rgb="FF00FF00"/>
  </sheetPr>
  <dimension ref="A1:W843"/>
  <sheetViews>
    <sheetView showGridLines="0" zoomScale="110" zoomScaleNormal="110" workbookViewId="0">
      <selection activeCell="K90" sqref="K90"/>
    </sheetView>
  </sheetViews>
  <sheetFormatPr defaultColWidth="12.5546875" defaultRowHeight="15" customHeight="1" outlineLevelRow="1" x14ac:dyDescent="0.3"/>
  <cols>
    <col min="1" max="1" width="2.5546875" style="3" customWidth="1"/>
    <col min="2" max="2" width="6.44140625" style="3" customWidth="1"/>
    <col min="3" max="3" width="10.44140625" style="3" customWidth="1"/>
    <col min="4" max="4" width="8.88671875" style="3" customWidth="1"/>
    <col min="5" max="5" width="42.33203125" style="3" customWidth="1"/>
    <col min="6" max="6" width="10.33203125" style="3" customWidth="1"/>
    <col min="7" max="7" width="15.88671875" style="3" customWidth="1"/>
    <col min="8" max="8" width="16.109375" style="3" customWidth="1"/>
    <col min="9" max="9" width="23.5546875" style="3" customWidth="1"/>
    <col min="10" max="10" width="23.88671875" style="3" customWidth="1"/>
    <col min="11" max="11" width="30.44140625" style="3" customWidth="1"/>
    <col min="12" max="12" width="15.5546875" style="3" customWidth="1"/>
    <col min="13" max="13" width="36.5546875" style="3" bestFit="1" customWidth="1"/>
    <col min="14" max="14" width="15.88671875" style="3" customWidth="1"/>
    <col min="15" max="15" width="13.33203125" style="3" customWidth="1"/>
    <col min="16" max="16" width="11.5546875" style="3" customWidth="1"/>
    <col min="17" max="19" width="8" style="3" customWidth="1"/>
    <col min="20" max="24" width="14.44140625" style="3" customWidth="1"/>
    <col min="25" max="16384" width="12.5546875" style="3"/>
  </cols>
  <sheetData>
    <row r="1" spans="1:16" ht="8.25" customHeight="1" thickBot="1" x14ac:dyDescent="0.35">
      <c r="B1" s="630"/>
      <c r="C1" s="631"/>
      <c r="D1" s="631"/>
      <c r="E1" s="631"/>
      <c r="F1" s="631"/>
      <c r="G1" s="631"/>
      <c r="H1" s="631"/>
      <c r="I1" s="631"/>
      <c r="J1" s="631"/>
    </row>
    <row r="2" spans="1:16" ht="22.5" customHeight="1" x14ac:dyDescent="0.3">
      <c r="B2" s="772" t="s">
        <v>130</v>
      </c>
      <c r="C2" s="773"/>
      <c r="D2" s="773"/>
      <c r="E2" s="773"/>
      <c r="F2" s="773"/>
      <c r="G2" s="773"/>
      <c r="H2" s="773"/>
      <c r="I2" s="773"/>
      <c r="J2" s="774"/>
      <c r="L2" s="6"/>
      <c r="M2" s="7"/>
      <c r="N2" s="6"/>
    </row>
    <row r="3" spans="1:16" ht="16.5" customHeight="1" x14ac:dyDescent="0.3">
      <c r="B3" s="775"/>
      <c r="C3" s="776"/>
      <c r="D3" s="776"/>
      <c r="E3" s="776"/>
      <c r="F3" s="776"/>
      <c r="G3" s="776"/>
      <c r="H3" s="776"/>
      <c r="I3" s="776"/>
      <c r="J3" s="777"/>
    </row>
    <row r="4" spans="1:16" ht="13.5" customHeight="1" thickBot="1" x14ac:dyDescent="0.35">
      <c r="B4" s="778"/>
      <c r="C4" s="779"/>
      <c r="D4" s="779"/>
      <c r="E4" s="779"/>
      <c r="F4" s="779"/>
      <c r="G4" s="779"/>
      <c r="H4" s="779"/>
      <c r="I4" s="779"/>
      <c r="J4" s="780"/>
    </row>
    <row r="5" spans="1:16" ht="15" customHeight="1" thickBot="1" x14ac:dyDescent="0.35">
      <c r="B5" s="781" t="s">
        <v>51</v>
      </c>
      <c r="C5" s="782"/>
      <c r="D5" s="783">
        <f>SERVIÇOS!D7</f>
        <v>0</v>
      </c>
      <c r="E5" s="782"/>
      <c r="F5" s="783">
        <f>SERVIÇOS!F7</f>
        <v>0</v>
      </c>
      <c r="G5" s="784"/>
      <c r="H5" s="785"/>
      <c r="I5" s="8" t="s">
        <v>52</v>
      </c>
      <c r="J5" s="9">
        <f ca="1">TODAY()</f>
        <v>45868</v>
      </c>
      <c r="K5" s="67"/>
      <c r="L5" s="11"/>
      <c r="M5" s="7"/>
    </row>
    <row r="6" spans="1:16" ht="12.75" customHeight="1" x14ac:dyDescent="0.3">
      <c r="B6" s="786" t="s">
        <v>53</v>
      </c>
      <c r="C6" s="787"/>
      <c r="D6" s="790">
        <f>SERVIÇOS!D8</f>
        <v>0</v>
      </c>
      <c r="E6" s="791"/>
      <c r="F6" s="791"/>
      <c r="G6" s="791"/>
      <c r="H6" s="791"/>
      <c r="I6" s="791"/>
      <c r="J6" s="792"/>
    </row>
    <row r="7" spans="1:16" ht="13.5" customHeight="1" thickBot="1" x14ac:dyDescent="0.35">
      <c r="B7" s="788"/>
      <c r="C7" s="789"/>
      <c r="D7" s="793"/>
      <c r="E7" s="794"/>
      <c r="F7" s="794"/>
      <c r="G7" s="794"/>
      <c r="H7" s="794"/>
      <c r="I7" s="794"/>
      <c r="J7" s="795"/>
      <c r="L7" s="13"/>
      <c r="M7" s="7"/>
    </row>
    <row r="8" spans="1:16" ht="27" customHeight="1" thickBot="1" x14ac:dyDescent="0.35">
      <c r="B8" s="796" t="s">
        <v>56</v>
      </c>
      <c r="C8" s="797"/>
      <c r="D8" s="797"/>
      <c r="E8" s="797"/>
      <c r="F8" s="797"/>
      <c r="G8" s="797"/>
      <c r="H8" s="797"/>
      <c r="I8" s="797"/>
      <c r="J8" s="798"/>
      <c r="K8" s="82"/>
      <c r="L8" s="83"/>
    </row>
    <row r="9" spans="1:16" ht="7.95" customHeight="1" thickBot="1" x14ac:dyDescent="0.35">
      <c r="A9" s="71"/>
      <c r="B9" s="198"/>
      <c r="C9" s="199"/>
      <c r="D9" s="199"/>
      <c r="E9" s="199"/>
      <c r="F9" s="200"/>
      <c r="G9" s="201"/>
      <c r="H9" s="202"/>
      <c r="I9" s="203"/>
      <c r="J9" s="204"/>
      <c r="K9" s="12"/>
      <c r="L9" s="22"/>
      <c r="M9" s="13"/>
      <c r="P9" s="84"/>
    </row>
    <row r="10" spans="1:16" ht="22.2" customHeight="1" thickBot="1" x14ac:dyDescent="0.35">
      <c r="B10" s="644" t="s">
        <v>264</v>
      </c>
      <c r="C10" s="645"/>
      <c r="D10" s="645"/>
      <c r="E10" s="645"/>
      <c r="F10" s="645"/>
      <c r="G10" s="645"/>
      <c r="H10" s="645"/>
      <c r="I10" s="645"/>
      <c r="J10" s="646"/>
      <c r="L10" s="83"/>
      <c r="M10" s="13"/>
    </row>
    <row r="11" spans="1:16" ht="14.25" customHeight="1" thickBot="1" x14ac:dyDescent="0.35">
      <c r="B11" s="282" t="s">
        <v>131</v>
      </c>
      <c r="C11" s="283" t="s">
        <v>132</v>
      </c>
      <c r="D11" s="284"/>
      <c r="E11" s="285"/>
      <c r="F11" s="286" t="s">
        <v>93</v>
      </c>
      <c r="G11" s="286" t="s">
        <v>133</v>
      </c>
      <c r="H11" s="286" t="s">
        <v>96</v>
      </c>
      <c r="I11" s="286" t="s">
        <v>134</v>
      </c>
      <c r="J11" s="287" t="s">
        <v>82</v>
      </c>
      <c r="K11" s="13"/>
      <c r="L11" s="13"/>
      <c r="M11" s="13"/>
    </row>
    <row r="12" spans="1:16" ht="14.25" customHeight="1" x14ac:dyDescent="0.3">
      <c r="B12" s="278">
        <v>1</v>
      </c>
      <c r="C12" s="396"/>
      <c r="D12" s="566"/>
      <c r="E12" s="279"/>
      <c r="F12" s="280"/>
      <c r="G12" s="280"/>
      <c r="H12" s="253">
        <v>0</v>
      </c>
      <c r="I12" s="281"/>
      <c r="J12" s="252">
        <f>G12*H12</f>
        <v>0</v>
      </c>
      <c r="K12" s="13"/>
      <c r="L12" s="13"/>
      <c r="M12" s="13"/>
    </row>
    <row r="13" spans="1:16" ht="14.25" customHeight="1" x14ac:dyDescent="0.3">
      <c r="B13" s="250">
        <v>2</v>
      </c>
      <c r="C13" s="397"/>
      <c r="D13" s="257"/>
      <c r="E13" s="260"/>
      <c r="F13" s="251"/>
      <c r="G13" s="251"/>
      <c r="H13" s="253">
        <v>0</v>
      </c>
      <c r="I13" s="256"/>
      <c r="J13" s="252">
        <f t="shared" ref="J13:J55" si="0">G13*H13</f>
        <v>0</v>
      </c>
      <c r="K13" s="13"/>
      <c r="L13" s="13"/>
      <c r="M13" s="13"/>
    </row>
    <row r="14" spans="1:16" ht="14.25" customHeight="1" x14ac:dyDescent="0.3">
      <c r="B14" s="278">
        <v>3</v>
      </c>
      <c r="C14" s="398"/>
      <c r="D14" s="96"/>
      <c r="E14" s="258"/>
      <c r="F14" s="249"/>
      <c r="G14" s="249"/>
      <c r="H14" s="253">
        <v>0</v>
      </c>
      <c r="I14" s="254"/>
      <c r="J14" s="252">
        <f t="shared" si="0"/>
        <v>0</v>
      </c>
      <c r="K14" s="13"/>
      <c r="L14" s="13"/>
      <c r="M14" s="13"/>
    </row>
    <row r="15" spans="1:16" ht="14.25" customHeight="1" x14ac:dyDescent="0.3">
      <c r="B15" s="250">
        <v>4</v>
      </c>
      <c r="C15" s="397"/>
      <c r="D15" s="257"/>
      <c r="E15" s="260"/>
      <c r="F15" s="251"/>
      <c r="G15" s="251"/>
      <c r="H15" s="255">
        <v>0</v>
      </c>
      <c r="I15" s="256"/>
      <c r="J15" s="252">
        <f t="shared" si="0"/>
        <v>0</v>
      </c>
      <c r="K15" s="13"/>
      <c r="L15" s="13"/>
      <c r="M15" s="13"/>
    </row>
    <row r="16" spans="1:16" ht="14.25" customHeight="1" x14ac:dyDescent="0.3">
      <c r="B16" s="278">
        <v>5</v>
      </c>
      <c r="C16" s="398"/>
      <c r="D16" s="96"/>
      <c r="E16" s="258"/>
      <c r="F16" s="249"/>
      <c r="G16" s="249"/>
      <c r="H16" s="253">
        <v>0</v>
      </c>
      <c r="I16" s="254"/>
      <c r="J16" s="252">
        <f t="shared" si="0"/>
        <v>0</v>
      </c>
      <c r="K16" s="13"/>
      <c r="L16" s="13"/>
      <c r="M16" s="13"/>
    </row>
    <row r="17" spans="2:13" ht="14.25" customHeight="1" x14ac:dyDescent="0.3">
      <c r="B17" s="250">
        <v>6</v>
      </c>
      <c r="C17" s="397"/>
      <c r="D17" s="257"/>
      <c r="E17" s="260"/>
      <c r="F17" s="251"/>
      <c r="G17" s="251"/>
      <c r="H17" s="255">
        <v>0</v>
      </c>
      <c r="I17" s="256"/>
      <c r="J17" s="252">
        <f t="shared" si="0"/>
        <v>0</v>
      </c>
      <c r="K17" s="13"/>
      <c r="L17" s="13"/>
      <c r="M17" s="13"/>
    </row>
    <row r="18" spans="2:13" ht="14.25" customHeight="1" x14ac:dyDescent="0.3">
      <c r="B18" s="278">
        <v>7</v>
      </c>
      <c r="C18" s="248"/>
      <c r="D18" s="96"/>
      <c r="E18" s="258"/>
      <c r="F18" s="249"/>
      <c r="G18" s="249"/>
      <c r="H18" s="253">
        <v>0</v>
      </c>
      <c r="I18" s="254"/>
      <c r="J18" s="252">
        <f t="shared" si="0"/>
        <v>0</v>
      </c>
      <c r="K18" s="13"/>
      <c r="L18" s="13"/>
      <c r="M18" s="13"/>
    </row>
    <row r="19" spans="2:13" ht="14.25" customHeight="1" x14ac:dyDescent="0.3">
      <c r="B19" s="250">
        <v>8</v>
      </c>
      <c r="C19" s="259"/>
      <c r="D19" s="257"/>
      <c r="E19" s="260"/>
      <c r="F19" s="251"/>
      <c r="G19" s="251"/>
      <c r="H19" s="255">
        <v>0</v>
      </c>
      <c r="I19" s="256"/>
      <c r="J19" s="252">
        <f t="shared" si="0"/>
        <v>0</v>
      </c>
      <c r="K19" s="13"/>
      <c r="L19" s="13"/>
      <c r="M19" s="13"/>
    </row>
    <row r="20" spans="2:13" ht="14.25" customHeight="1" x14ac:dyDescent="0.3">
      <c r="B20" s="278">
        <v>9</v>
      </c>
      <c r="C20" s="248"/>
      <c r="D20" s="96"/>
      <c r="E20" s="258"/>
      <c r="F20" s="249"/>
      <c r="G20" s="304"/>
      <c r="H20" s="253">
        <v>0</v>
      </c>
      <c r="I20" s="254"/>
      <c r="J20" s="252">
        <f t="shared" si="0"/>
        <v>0</v>
      </c>
      <c r="K20" s="13"/>
      <c r="L20" s="13"/>
      <c r="M20" s="13"/>
    </row>
    <row r="21" spans="2:13" ht="14.25" customHeight="1" x14ac:dyDescent="0.3">
      <c r="B21" s="250">
        <v>10</v>
      </c>
      <c r="C21" s="259"/>
      <c r="D21" s="257"/>
      <c r="E21" s="260"/>
      <c r="F21" s="251"/>
      <c r="G21" s="303"/>
      <c r="H21" s="255">
        <v>0</v>
      </c>
      <c r="I21" s="256"/>
      <c r="J21" s="252">
        <f t="shared" si="0"/>
        <v>0</v>
      </c>
      <c r="K21" s="13"/>
      <c r="L21" s="13"/>
      <c r="M21" s="13"/>
    </row>
    <row r="22" spans="2:13" ht="14.25" customHeight="1" x14ac:dyDescent="0.3">
      <c r="B22" s="278">
        <v>11</v>
      </c>
      <c r="C22" s="248"/>
      <c r="D22" s="96"/>
      <c r="E22" s="258"/>
      <c r="F22" s="249"/>
      <c r="G22" s="304"/>
      <c r="H22" s="253">
        <v>0</v>
      </c>
      <c r="I22" s="254"/>
      <c r="J22" s="252">
        <f t="shared" si="0"/>
        <v>0</v>
      </c>
      <c r="K22" s="13"/>
      <c r="L22" s="13"/>
      <c r="M22" s="13"/>
    </row>
    <row r="23" spans="2:13" ht="14.25" customHeight="1" x14ac:dyDescent="0.3">
      <c r="B23" s="250">
        <v>12</v>
      </c>
      <c r="C23" s="259"/>
      <c r="D23" s="257"/>
      <c r="E23" s="260"/>
      <c r="F23" s="251"/>
      <c r="G23" s="303"/>
      <c r="H23" s="255">
        <v>0</v>
      </c>
      <c r="I23" s="256"/>
      <c r="J23" s="252">
        <f t="shared" si="0"/>
        <v>0</v>
      </c>
      <c r="K23" s="13"/>
      <c r="L23" s="13"/>
      <c r="M23" s="13"/>
    </row>
    <row r="24" spans="2:13" ht="14.25" customHeight="1" x14ac:dyDescent="0.3">
      <c r="B24" s="278">
        <v>13</v>
      </c>
      <c r="C24" s="248"/>
      <c r="D24" s="96"/>
      <c r="E24" s="258"/>
      <c r="F24" s="249"/>
      <c r="G24" s="304"/>
      <c r="H24" s="253">
        <v>0</v>
      </c>
      <c r="I24" s="254"/>
      <c r="J24" s="252">
        <f t="shared" si="0"/>
        <v>0</v>
      </c>
      <c r="K24" s="13"/>
      <c r="L24" s="13"/>
      <c r="M24" s="13"/>
    </row>
    <row r="25" spans="2:13" ht="14.25" customHeight="1" x14ac:dyDescent="0.3">
      <c r="B25" s="250">
        <v>14</v>
      </c>
      <c r="C25" s="259"/>
      <c r="D25" s="257"/>
      <c r="E25" s="260"/>
      <c r="F25" s="251"/>
      <c r="G25" s="303"/>
      <c r="H25" s="255">
        <v>0</v>
      </c>
      <c r="I25" s="256"/>
      <c r="J25" s="252">
        <f t="shared" si="0"/>
        <v>0</v>
      </c>
      <c r="K25" s="13"/>
      <c r="L25" s="13"/>
      <c r="M25" s="13"/>
    </row>
    <row r="26" spans="2:13" ht="14.25" customHeight="1" x14ac:dyDescent="0.3">
      <c r="B26" s="278">
        <v>15</v>
      </c>
      <c r="C26" s="248"/>
      <c r="D26" s="96"/>
      <c r="E26" s="258"/>
      <c r="F26" s="249"/>
      <c r="G26" s="304"/>
      <c r="H26" s="253">
        <v>0</v>
      </c>
      <c r="I26" s="254"/>
      <c r="J26" s="252">
        <f t="shared" si="0"/>
        <v>0</v>
      </c>
      <c r="K26" s="13"/>
      <c r="L26" s="13"/>
      <c r="M26" s="13"/>
    </row>
    <row r="27" spans="2:13" ht="14.25" customHeight="1" x14ac:dyDescent="0.3">
      <c r="B27" s="250">
        <v>16</v>
      </c>
      <c r="C27" s="259"/>
      <c r="D27" s="257"/>
      <c r="E27" s="260"/>
      <c r="F27" s="251"/>
      <c r="G27" s="303"/>
      <c r="H27" s="255">
        <v>0</v>
      </c>
      <c r="I27" s="256"/>
      <c r="J27" s="252">
        <f t="shared" si="0"/>
        <v>0</v>
      </c>
      <c r="K27" s="13"/>
      <c r="L27" s="13"/>
      <c r="M27" s="13"/>
    </row>
    <row r="28" spans="2:13" ht="14.25" customHeight="1" x14ac:dyDescent="0.3">
      <c r="B28" s="278">
        <v>17</v>
      </c>
      <c r="C28" s="248"/>
      <c r="D28" s="96"/>
      <c r="E28" s="258"/>
      <c r="F28" s="249"/>
      <c r="G28" s="304"/>
      <c r="H28" s="253">
        <v>0</v>
      </c>
      <c r="I28" s="254"/>
      <c r="J28" s="252">
        <f t="shared" si="0"/>
        <v>0</v>
      </c>
      <c r="K28" s="13"/>
      <c r="L28" s="13"/>
      <c r="M28" s="13"/>
    </row>
    <row r="29" spans="2:13" ht="14.25" customHeight="1" x14ac:dyDescent="0.3">
      <c r="B29" s="250">
        <v>18</v>
      </c>
      <c r="C29" s="259"/>
      <c r="D29" s="257"/>
      <c r="E29" s="260"/>
      <c r="F29" s="251"/>
      <c r="G29" s="303"/>
      <c r="H29" s="255">
        <v>0</v>
      </c>
      <c r="I29" s="256"/>
      <c r="J29" s="252">
        <f t="shared" si="0"/>
        <v>0</v>
      </c>
      <c r="K29" s="13"/>
      <c r="L29" s="13"/>
      <c r="M29" s="13"/>
    </row>
    <row r="30" spans="2:13" ht="14.25" customHeight="1" x14ac:dyDescent="0.3">
      <c r="B30" s="278">
        <v>19</v>
      </c>
      <c r="C30" s="248"/>
      <c r="D30" s="96"/>
      <c r="E30" s="258"/>
      <c r="F30" s="249"/>
      <c r="G30" s="304"/>
      <c r="H30" s="253">
        <v>0</v>
      </c>
      <c r="I30" s="254"/>
      <c r="J30" s="252">
        <f t="shared" si="0"/>
        <v>0</v>
      </c>
      <c r="K30" s="13"/>
      <c r="L30" s="13"/>
      <c r="M30" s="13"/>
    </row>
    <row r="31" spans="2:13" ht="14.25" customHeight="1" x14ac:dyDescent="0.3">
      <c r="B31" s="250">
        <v>20</v>
      </c>
      <c r="C31" s="259"/>
      <c r="D31" s="257"/>
      <c r="E31" s="260"/>
      <c r="F31" s="251"/>
      <c r="G31" s="303"/>
      <c r="H31" s="255">
        <v>0</v>
      </c>
      <c r="I31" s="256"/>
      <c r="J31" s="252">
        <f t="shared" si="0"/>
        <v>0</v>
      </c>
      <c r="K31" s="13"/>
      <c r="L31" s="13"/>
      <c r="M31" s="13"/>
    </row>
    <row r="32" spans="2:13" ht="14.25" customHeight="1" x14ac:dyDescent="0.3">
      <c r="B32" s="278">
        <v>21</v>
      </c>
      <c r="C32" s="248"/>
      <c r="D32" s="96"/>
      <c r="E32" s="258"/>
      <c r="F32" s="249"/>
      <c r="G32" s="304"/>
      <c r="H32" s="253">
        <v>0</v>
      </c>
      <c r="I32" s="254"/>
      <c r="J32" s="252">
        <f t="shared" si="0"/>
        <v>0</v>
      </c>
      <c r="K32" s="13"/>
      <c r="L32" s="13"/>
      <c r="M32" s="13"/>
    </row>
    <row r="33" spans="2:13" ht="14.25" customHeight="1" x14ac:dyDescent="0.3">
      <c r="B33" s="250">
        <v>22</v>
      </c>
      <c r="C33" s="259"/>
      <c r="D33" s="257"/>
      <c r="E33" s="260"/>
      <c r="F33" s="251"/>
      <c r="G33" s="303"/>
      <c r="H33" s="255">
        <v>0</v>
      </c>
      <c r="I33" s="256"/>
      <c r="J33" s="252">
        <f t="shared" si="0"/>
        <v>0</v>
      </c>
      <c r="K33" s="13"/>
      <c r="L33" s="13"/>
      <c r="M33" s="13"/>
    </row>
    <row r="34" spans="2:13" ht="14.25" customHeight="1" x14ac:dyDescent="0.3">
      <c r="B34" s="278">
        <v>23</v>
      </c>
      <c r="C34" s="248"/>
      <c r="D34" s="96"/>
      <c r="E34" s="258"/>
      <c r="F34" s="249"/>
      <c r="G34" s="304"/>
      <c r="H34" s="253">
        <v>0</v>
      </c>
      <c r="I34" s="254"/>
      <c r="J34" s="252">
        <f t="shared" si="0"/>
        <v>0</v>
      </c>
      <c r="K34" s="13"/>
      <c r="L34" s="13"/>
      <c r="M34" s="13"/>
    </row>
    <row r="35" spans="2:13" ht="14.25" customHeight="1" x14ac:dyDescent="0.3">
      <c r="B35" s="250">
        <v>24</v>
      </c>
      <c r="C35" s="259"/>
      <c r="D35" s="257"/>
      <c r="E35" s="260"/>
      <c r="F35" s="251"/>
      <c r="G35" s="303"/>
      <c r="H35" s="255">
        <v>0</v>
      </c>
      <c r="I35" s="256"/>
      <c r="J35" s="252">
        <f t="shared" si="0"/>
        <v>0</v>
      </c>
      <c r="K35" s="13"/>
      <c r="L35" s="13"/>
      <c r="M35" s="13"/>
    </row>
    <row r="36" spans="2:13" ht="14.25" customHeight="1" x14ac:dyDescent="0.3">
      <c r="B36" s="278">
        <v>25</v>
      </c>
      <c r="C36" s="248"/>
      <c r="D36" s="96"/>
      <c r="E36" s="258"/>
      <c r="F36" s="249"/>
      <c r="G36" s="304"/>
      <c r="H36" s="253">
        <v>0</v>
      </c>
      <c r="I36" s="254"/>
      <c r="J36" s="252">
        <f t="shared" si="0"/>
        <v>0</v>
      </c>
      <c r="K36" s="13"/>
      <c r="L36" s="13"/>
      <c r="M36" s="13"/>
    </row>
    <row r="37" spans="2:13" ht="14.25" customHeight="1" x14ac:dyDescent="0.3">
      <c r="B37" s="250">
        <v>26</v>
      </c>
      <c r="C37" s="259"/>
      <c r="D37" s="257"/>
      <c r="E37" s="260"/>
      <c r="F37" s="251"/>
      <c r="G37" s="303"/>
      <c r="H37" s="255">
        <v>0</v>
      </c>
      <c r="I37" s="256"/>
      <c r="J37" s="252">
        <f t="shared" si="0"/>
        <v>0</v>
      </c>
      <c r="K37" s="13"/>
      <c r="L37" s="13"/>
      <c r="M37" s="13"/>
    </row>
    <row r="38" spans="2:13" ht="14.25" customHeight="1" x14ac:dyDescent="0.3">
      <c r="B38" s="278">
        <v>27</v>
      </c>
      <c r="C38" s="248"/>
      <c r="D38" s="96"/>
      <c r="E38" s="258"/>
      <c r="F38" s="249"/>
      <c r="G38" s="304"/>
      <c r="H38" s="253">
        <v>0</v>
      </c>
      <c r="I38" s="254"/>
      <c r="J38" s="252">
        <f t="shared" si="0"/>
        <v>0</v>
      </c>
      <c r="K38" s="13"/>
      <c r="L38" s="13"/>
      <c r="M38" s="13"/>
    </row>
    <row r="39" spans="2:13" ht="14.25" customHeight="1" x14ac:dyDescent="0.3">
      <c r="B39" s="250">
        <v>28</v>
      </c>
      <c r="C39" s="259"/>
      <c r="D39" s="257"/>
      <c r="E39" s="260"/>
      <c r="F39" s="251"/>
      <c r="G39" s="303"/>
      <c r="H39" s="255">
        <v>0</v>
      </c>
      <c r="I39" s="256"/>
      <c r="J39" s="252">
        <f t="shared" si="0"/>
        <v>0</v>
      </c>
      <c r="K39" s="13"/>
      <c r="L39" s="13"/>
      <c r="M39" s="13"/>
    </row>
    <row r="40" spans="2:13" ht="14.25" customHeight="1" x14ac:dyDescent="0.3">
      <c r="B40" s="278">
        <v>29</v>
      </c>
      <c r="C40" s="248"/>
      <c r="D40" s="96"/>
      <c r="E40" s="258"/>
      <c r="F40" s="249"/>
      <c r="G40" s="304"/>
      <c r="H40" s="253">
        <v>0</v>
      </c>
      <c r="I40" s="254"/>
      <c r="J40" s="252">
        <f t="shared" si="0"/>
        <v>0</v>
      </c>
      <c r="K40" s="13"/>
      <c r="L40" s="13"/>
      <c r="M40" s="13"/>
    </row>
    <row r="41" spans="2:13" ht="14.25" customHeight="1" x14ac:dyDescent="0.3">
      <c r="B41" s="250">
        <v>30</v>
      </c>
      <c r="C41" s="259"/>
      <c r="D41" s="257"/>
      <c r="E41" s="260"/>
      <c r="F41" s="251"/>
      <c r="G41" s="303"/>
      <c r="H41" s="255">
        <v>0</v>
      </c>
      <c r="I41" s="256"/>
      <c r="J41" s="252">
        <f t="shared" si="0"/>
        <v>0</v>
      </c>
      <c r="K41" s="13"/>
      <c r="L41" s="13"/>
      <c r="M41" s="13"/>
    </row>
    <row r="42" spans="2:13" ht="14.25" customHeight="1" x14ac:dyDescent="0.3">
      <c r="B42" s="278">
        <v>31</v>
      </c>
      <c r="C42" s="248"/>
      <c r="D42" s="96"/>
      <c r="E42" s="258"/>
      <c r="F42" s="249"/>
      <c r="G42" s="304"/>
      <c r="H42" s="253">
        <v>0</v>
      </c>
      <c r="I42" s="254"/>
      <c r="J42" s="252">
        <f t="shared" si="0"/>
        <v>0</v>
      </c>
      <c r="K42" s="13"/>
      <c r="L42" s="13"/>
      <c r="M42" s="13"/>
    </row>
    <row r="43" spans="2:13" ht="14.25" customHeight="1" x14ac:dyDescent="0.3">
      <c r="B43" s="250">
        <v>32</v>
      </c>
      <c r="C43" s="259"/>
      <c r="D43" s="257"/>
      <c r="E43" s="260"/>
      <c r="F43" s="251"/>
      <c r="G43" s="303"/>
      <c r="H43" s="255">
        <v>0</v>
      </c>
      <c r="I43" s="256"/>
      <c r="J43" s="252">
        <f t="shared" si="0"/>
        <v>0</v>
      </c>
      <c r="K43" s="13"/>
      <c r="L43" s="13"/>
      <c r="M43" s="13"/>
    </row>
    <row r="44" spans="2:13" ht="14.25" customHeight="1" x14ac:dyDescent="0.3">
      <c r="B44" s="278">
        <v>33</v>
      </c>
      <c r="C44" s="248"/>
      <c r="D44" s="96"/>
      <c r="E44" s="258"/>
      <c r="F44" s="249"/>
      <c r="G44" s="304"/>
      <c r="H44" s="253">
        <v>0</v>
      </c>
      <c r="I44" s="254"/>
      <c r="J44" s="252">
        <f t="shared" si="0"/>
        <v>0</v>
      </c>
      <c r="K44" s="13"/>
      <c r="L44" s="13"/>
      <c r="M44" s="13"/>
    </row>
    <row r="45" spans="2:13" ht="14.25" customHeight="1" x14ac:dyDescent="0.3">
      <c r="B45" s="250">
        <v>34</v>
      </c>
      <c r="C45" s="259"/>
      <c r="D45" s="257"/>
      <c r="E45" s="260"/>
      <c r="F45" s="251"/>
      <c r="G45" s="303"/>
      <c r="H45" s="255">
        <v>0</v>
      </c>
      <c r="I45" s="256"/>
      <c r="J45" s="252">
        <f t="shared" si="0"/>
        <v>0</v>
      </c>
      <c r="K45" s="13"/>
      <c r="L45" s="13"/>
      <c r="M45" s="13"/>
    </row>
    <row r="46" spans="2:13" ht="14.25" customHeight="1" x14ac:dyDescent="0.3">
      <c r="B46" s="278">
        <v>35</v>
      </c>
      <c r="C46" s="248"/>
      <c r="D46" s="96"/>
      <c r="E46" s="258"/>
      <c r="F46" s="249"/>
      <c r="G46" s="304"/>
      <c r="H46" s="253">
        <v>0</v>
      </c>
      <c r="I46" s="254"/>
      <c r="J46" s="252">
        <f t="shared" si="0"/>
        <v>0</v>
      </c>
      <c r="K46" s="13"/>
      <c r="L46" s="13"/>
      <c r="M46" s="13"/>
    </row>
    <row r="47" spans="2:13" ht="14.25" customHeight="1" x14ac:dyDescent="0.3">
      <c r="B47" s="250">
        <v>36</v>
      </c>
      <c r="C47" s="259"/>
      <c r="D47" s="257"/>
      <c r="E47" s="260"/>
      <c r="F47" s="251"/>
      <c r="G47" s="303"/>
      <c r="H47" s="255">
        <v>0</v>
      </c>
      <c r="I47" s="256"/>
      <c r="J47" s="252">
        <f t="shared" si="0"/>
        <v>0</v>
      </c>
      <c r="K47" s="13"/>
      <c r="L47" s="13"/>
      <c r="M47" s="13"/>
    </row>
    <row r="48" spans="2:13" ht="14.25" customHeight="1" x14ac:dyDescent="0.3">
      <c r="B48" s="278">
        <v>37</v>
      </c>
      <c r="C48" s="248"/>
      <c r="D48" s="96"/>
      <c r="E48" s="258"/>
      <c r="F48" s="249"/>
      <c r="G48" s="304"/>
      <c r="H48" s="253">
        <v>0</v>
      </c>
      <c r="I48" s="254"/>
      <c r="J48" s="252">
        <f t="shared" si="0"/>
        <v>0</v>
      </c>
      <c r="K48" s="13"/>
      <c r="L48" s="13"/>
      <c r="M48" s="13"/>
    </row>
    <row r="49" spans="1:16" ht="14.25" customHeight="1" x14ac:dyDescent="0.3">
      <c r="B49" s="250">
        <v>38</v>
      </c>
      <c r="C49" s="259"/>
      <c r="D49" s="257"/>
      <c r="E49" s="260"/>
      <c r="F49" s="251"/>
      <c r="G49" s="303"/>
      <c r="H49" s="255">
        <v>0</v>
      </c>
      <c r="I49" s="256"/>
      <c r="J49" s="252">
        <f t="shared" si="0"/>
        <v>0</v>
      </c>
      <c r="K49" s="13"/>
      <c r="L49" s="13"/>
      <c r="M49" s="13"/>
    </row>
    <row r="50" spans="1:16" ht="14.25" customHeight="1" x14ac:dyDescent="0.3">
      <c r="B50" s="278">
        <v>39</v>
      </c>
      <c r="C50" s="248"/>
      <c r="D50" s="96"/>
      <c r="E50" s="258"/>
      <c r="F50" s="249"/>
      <c r="G50" s="304"/>
      <c r="H50" s="253">
        <v>0</v>
      </c>
      <c r="I50" s="254"/>
      <c r="J50" s="252">
        <f t="shared" si="0"/>
        <v>0</v>
      </c>
      <c r="K50" s="13"/>
      <c r="L50" s="13"/>
      <c r="M50" s="13"/>
    </row>
    <row r="51" spans="1:16" ht="14.25" customHeight="1" x14ac:dyDescent="0.3">
      <c r="B51" s="250">
        <v>40</v>
      </c>
      <c r="C51" s="259"/>
      <c r="D51" s="257"/>
      <c r="E51" s="260"/>
      <c r="F51" s="251"/>
      <c r="G51" s="303"/>
      <c r="H51" s="255">
        <v>0</v>
      </c>
      <c r="I51" s="256"/>
      <c r="J51" s="252">
        <f t="shared" si="0"/>
        <v>0</v>
      </c>
      <c r="K51" s="13"/>
      <c r="L51" s="13"/>
      <c r="M51" s="13"/>
    </row>
    <row r="52" spans="1:16" ht="14.25" customHeight="1" x14ac:dyDescent="0.3">
      <c r="B52" s="278">
        <v>41</v>
      </c>
      <c r="C52" s="274"/>
      <c r="D52" s="275"/>
      <c r="E52" s="276"/>
      <c r="F52" s="277"/>
      <c r="G52" s="305"/>
      <c r="H52" s="253">
        <v>0</v>
      </c>
      <c r="I52" s="254"/>
      <c r="J52" s="252">
        <f t="shared" si="0"/>
        <v>0</v>
      </c>
      <c r="K52" s="13"/>
      <c r="L52" s="13"/>
      <c r="M52" s="13"/>
    </row>
    <row r="53" spans="1:16" ht="14.25" customHeight="1" x14ac:dyDescent="0.3">
      <c r="B53" s="250">
        <v>42</v>
      </c>
      <c r="C53" s="259"/>
      <c r="D53" s="257"/>
      <c r="E53" s="260"/>
      <c r="F53" s="251"/>
      <c r="G53" s="303"/>
      <c r="H53" s="255">
        <v>0</v>
      </c>
      <c r="I53" s="256"/>
      <c r="J53" s="252">
        <f t="shared" si="0"/>
        <v>0</v>
      </c>
      <c r="K53" s="13"/>
      <c r="L53" s="13"/>
      <c r="M53" s="13"/>
    </row>
    <row r="54" spans="1:16" ht="14.25" customHeight="1" x14ac:dyDescent="0.3">
      <c r="B54" s="278">
        <v>43</v>
      </c>
      <c r="C54" s="248"/>
      <c r="D54" s="96"/>
      <c r="E54" s="258"/>
      <c r="F54" s="249"/>
      <c r="G54" s="304"/>
      <c r="H54" s="253">
        <v>0</v>
      </c>
      <c r="I54" s="254"/>
      <c r="J54" s="252">
        <f t="shared" si="0"/>
        <v>0</v>
      </c>
      <c r="K54" s="13"/>
      <c r="L54" s="13"/>
      <c r="M54" s="13"/>
    </row>
    <row r="55" spans="1:16" ht="14.25" customHeight="1" thickBot="1" x14ac:dyDescent="0.35">
      <c r="B55" s="250">
        <v>44</v>
      </c>
      <c r="C55" s="288"/>
      <c r="D55" s="289"/>
      <c r="E55" s="290"/>
      <c r="F55" s="291"/>
      <c r="G55" s="306"/>
      <c r="H55" s="292">
        <v>0</v>
      </c>
      <c r="I55" s="256"/>
      <c r="J55" s="252">
        <f t="shared" si="0"/>
        <v>0</v>
      </c>
      <c r="K55" s="13"/>
      <c r="L55" s="13"/>
      <c r="M55" s="13"/>
    </row>
    <row r="56" spans="1:16" ht="14.25" customHeight="1" thickBot="1" x14ac:dyDescent="0.35">
      <c r="B56" s="745" t="s">
        <v>135</v>
      </c>
      <c r="C56" s="746"/>
      <c r="D56" s="746"/>
      <c r="E56" s="746"/>
      <c r="F56" s="746"/>
      <c r="G56" s="746"/>
      <c r="H56" s="746"/>
      <c r="I56" s="747"/>
      <c r="J56" s="293">
        <f>SUM(J12:J55)</f>
        <v>0</v>
      </c>
      <c r="K56" s="13"/>
      <c r="L56" s="13"/>
      <c r="M56" s="13"/>
    </row>
    <row r="57" spans="1:16" ht="12.75" customHeight="1" thickBot="1" x14ac:dyDescent="0.35">
      <c r="B57" s="205"/>
      <c r="C57" s="206"/>
      <c r="D57" s="206"/>
      <c r="E57" s="206"/>
      <c r="F57" s="207"/>
      <c r="G57" s="208"/>
      <c r="H57" s="209"/>
      <c r="I57" s="30"/>
      <c r="J57" s="210"/>
      <c r="K57" s="45"/>
      <c r="L57" s="13"/>
      <c r="M57" s="13"/>
    </row>
    <row r="58" spans="1:16" ht="22.2" customHeight="1" thickBot="1" x14ac:dyDescent="0.35">
      <c r="A58" s="71"/>
      <c r="B58" s="644" t="s">
        <v>265</v>
      </c>
      <c r="C58" s="645"/>
      <c r="D58" s="645"/>
      <c r="E58" s="645"/>
      <c r="F58" s="645"/>
      <c r="G58" s="645"/>
      <c r="H58" s="645"/>
      <c r="I58" s="645"/>
      <c r="J58" s="646"/>
      <c r="K58" s="13"/>
      <c r="L58" s="13"/>
      <c r="M58" s="13"/>
      <c r="P58" s="84"/>
    </row>
    <row r="59" spans="1:16" ht="15" customHeight="1" thickBot="1" x14ac:dyDescent="0.35">
      <c r="B59" s="647" t="s">
        <v>97</v>
      </c>
      <c r="C59" s="693"/>
      <c r="D59" s="693"/>
      <c r="E59" s="693"/>
      <c r="F59" s="748"/>
      <c r="G59" s="271" t="s">
        <v>60</v>
      </c>
      <c r="H59" s="272" t="s">
        <v>96</v>
      </c>
      <c r="I59" s="270"/>
      <c r="J59" s="273" t="s">
        <v>82</v>
      </c>
      <c r="L59" s="13"/>
      <c r="M59" s="13"/>
    </row>
    <row r="60" spans="1:16" ht="14.25" customHeight="1" outlineLevel="1" x14ac:dyDescent="0.3">
      <c r="B60" s="649" t="s">
        <v>136</v>
      </c>
      <c r="C60" s="684"/>
      <c r="D60" s="684"/>
      <c r="E60" s="684"/>
      <c r="F60" s="685"/>
      <c r="G60" s="223"/>
      <c r="H60" s="211"/>
      <c r="I60" s="211"/>
      <c r="J60" s="218">
        <f t="shared" ref="J60:J65" si="1">H60*G60</f>
        <v>0</v>
      </c>
      <c r="L60" s="13"/>
      <c r="M60" s="13"/>
    </row>
    <row r="61" spans="1:16" ht="14.25" customHeight="1" outlineLevel="1" x14ac:dyDescent="0.3">
      <c r="B61" s="620" t="s">
        <v>137</v>
      </c>
      <c r="C61" s="691"/>
      <c r="D61" s="691"/>
      <c r="E61" s="691"/>
      <c r="F61" s="692"/>
      <c r="G61" s="31"/>
      <c r="H61" s="23"/>
      <c r="I61" s="23"/>
      <c r="J61" s="112">
        <f t="shared" si="1"/>
        <v>0</v>
      </c>
      <c r="L61" s="13"/>
      <c r="M61" s="13"/>
    </row>
    <row r="62" spans="1:16" ht="14.25" customHeight="1" outlineLevel="1" x14ac:dyDescent="0.3">
      <c r="B62" s="620" t="s">
        <v>138</v>
      </c>
      <c r="C62" s="691"/>
      <c r="D62" s="691"/>
      <c r="E62" s="691"/>
      <c r="F62" s="692"/>
      <c r="G62" s="31"/>
      <c r="H62" s="23"/>
      <c r="I62" s="23"/>
      <c r="J62" s="112">
        <f t="shared" si="1"/>
        <v>0</v>
      </c>
      <c r="L62" s="13"/>
      <c r="M62" s="13"/>
    </row>
    <row r="63" spans="1:16" ht="14.25" customHeight="1" outlineLevel="1" x14ac:dyDescent="0.3">
      <c r="B63" s="620" t="s">
        <v>139</v>
      </c>
      <c r="C63" s="691"/>
      <c r="D63" s="691"/>
      <c r="E63" s="691"/>
      <c r="F63" s="692"/>
      <c r="G63" s="31"/>
      <c r="H63" s="23"/>
      <c r="I63" s="23"/>
      <c r="J63" s="112">
        <f t="shared" si="1"/>
        <v>0</v>
      </c>
      <c r="L63" s="13"/>
      <c r="M63" s="13"/>
    </row>
    <row r="64" spans="1:16" ht="14.25" customHeight="1" outlineLevel="1" x14ac:dyDescent="0.3">
      <c r="B64" s="620"/>
      <c r="C64" s="691"/>
      <c r="D64" s="691"/>
      <c r="E64" s="691"/>
      <c r="F64" s="692"/>
      <c r="G64" s="31"/>
      <c r="H64" s="23"/>
      <c r="I64" s="23"/>
      <c r="J64" s="112">
        <f t="shared" si="1"/>
        <v>0</v>
      </c>
      <c r="L64" s="13"/>
      <c r="M64" s="13"/>
    </row>
    <row r="65" spans="1:23" ht="14.25" customHeight="1" outlineLevel="1" x14ac:dyDescent="0.3">
      <c r="B65" s="620"/>
      <c r="C65" s="691"/>
      <c r="D65" s="691"/>
      <c r="E65" s="691"/>
      <c r="F65" s="692"/>
      <c r="G65" s="31"/>
      <c r="H65" s="23"/>
      <c r="I65" s="23"/>
      <c r="J65" s="112">
        <f t="shared" si="1"/>
        <v>0</v>
      </c>
      <c r="L65" s="13"/>
      <c r="M65" s="13"/>
    </row>
    <row r="66" spans="1:23" ht="14.25" customHeight="1" outlineLevel="1" thickBot="1" x14ac:dyDescent="0.35">
      <c r="B66" s="294"/>
      <c r="C66" s="199"/>
      <c r="D66" s="199"/>
      <c r="E66" s="199"/>
      <c r="F66" s="200"/>
      <c r="G66" s="201"/>
      <c r="H66" s="202"/>
      <c r="I66" s="203"/>
      <c r="J66" s="295"/>
      <c r="L66" s="13"/>
      <c r="M66" s="13"/>
    </row>
    <row r="67" spans="1:23" ht="14.25" customHeight="1" thickBot="1" x14ac:dyDescent="0.35">
      <c r="A67" s="71"/>
      <c r="B67" s="799" t="s">
        <v>105</v>
      </c>
      <c r="C67" s="800"/>
      <c r="D67" s="800"/>
      <c r="E67" s="800"/>
      <c r="F67" s="800"/>
      <c r="G67" s="800"/>
      <c r="H67" s="800"/>
      <c r="I67" s="801"/>
      <c r="J67" s="296">
        <f>SUM(J60:J65)</f>
        <v>0</v>
      </c>
      <c r="K67" s="13"/>
      <c r="L67" s="13"/>
      <c r="M67" s="13"/>
      <c r="P67" s="84"/>
    </row>
    <row r="68" spans="1:23" ht="12.75" customHeight="1" thickBot="1" x14ac:dyDescent="0.35">
      <c r="B68" s="205"/>
      <c r="C68" s="206"/>
      <c r="D68" s="206"/>
      <c r="E68" s="206"/>
      <c r="F68" s="207"/>
      <c r="G68" s="208"/>
      <c r="H68" s="209"/>
      <c r="I68" s="30"/>
      <c r="J68" s="210"/>
      <c r="L68" s="13"/>
      <c r="M68" s="13"/>
    </row>
    <row r="69" spans="1:23" ht="22.2" customHeight="1" thickBot="1" x14ac:dyDescent="0.35">
      <c r="A69" s="71"/>
      <c r="B69" s="644" t="s">
        <v>266</v>
      </c>
      <c r="C69" s="645"/>
      <c r="D69" s="645"/>
      <c r="E69" s="645"/>
      <c r="F69" s="645"/>
      <c r="G69" s="645"/>
      <c r="H69" s="645"/>
      <c r="I69" s="645"/>
      <c r="J69" s="646"/>
      <c r="K69" s="13"/>
      <c r="L69" s="13"/>
      <c r="M69" s="13"/>
      <c r="P69" s="84"/>
    </row>
    <row r="70" spans="1:23" ht="14.25" customHeight="1" thickBot="1" x14ac:dyDescent="0.35">
      <c r="B70" s="647" t="s">
        <v>80</v>
      </c>
      <c r="C70" s="648"/>
      <c r="D70" s="648"/>
      <c r="E70" s="648"/>
      <c r="F70" s="683"/>
      <c r="G70" s="219" t="s">
        <v>106</v>
      </c>
      <c r="H70" s="219" t="s">
        <v>107</v>
      </c>
      <c r="I70" s="220"/>
      <c r="J70" s="221" t="s">
        <v>108</v>
      </c>
      <c r="K70" s="5"/>
      <c r="L70" s="4"/>
      <c r="T70" s="13"/>
      <c r="U70" s="13"/>
      <c r="V70" s="13"/>
      <c r="W70" s="13"/>
    </row>
    <row r="71" spans="1:23" ht="14.25" customHeight="1" outlineLevel="1" thickBot="1" x14ac:dyDescent="0.35">
      <c r="B71" s="802" t="s">
        <v>109</v>
      </c>
      <c r="C71" s="803"/>
      <c r="D71" s="803"/>
      <c r="E71" s="803"/>
      <c r="F71" s="804"/>
      <c r="G71" s="216">
        <v>0.05</v>
      </c>
      <c r="H71" s="217">
        <f>J56+J67</f>
        <v>0</v>
      </c>
      <c r="I71" s="211"/>
      <c r="J71" s="218">
        <f>ROUND(H71*G71,2)</f>
        <v>0</v>
      </c>
      <c r="K71" s="30"/>
      <c r="L71" s="4"/>
      <c r="T71" s="13"/>
      <c r="U71" s="13"/>
      <c r="V71" s="13"/>
    </row>
    <row r="72" spans="1:23" ht="14.25" customHeight="1" outlineLevel="1" thickBot="1" x14ac:dyDescent="0.35">
      <c r="B72" s="799" t="s">
        <v>110</v>
      </c>
      <c r="C72" s="800"/>
      <c r="D72" s="800"/>
      <c r="E72" s="800"/>
      <c r="F72" s="800"/>
      <c r="G72" s="800"/>
      <c r="H72" s="800"/>
      <c r="I72" s="801"/>
      <c r="J72" s="293">
        <f>SUM(J71:J71)</f>
        <v>0</v>
      </c>
      <c r="K72" s="21"/>
      <c r="L72" s="4"/>
      <c r="T72" s="13"/>
      <c r="U72" s="13"/>
      <c r="V72" s="13"/>
    </row>
    <row r="73" spans="1:23" ht="12.75" customHeight="1" thickBot="1" x14ac:dyDescent="0.35">
      <c r="B73" s="205"/>
      <c r="C73" s="206"/>
      <c r="D73" s="206"/>
      <c r="E73" s="206"/>
      <c r="F73" s="207"/>
      <c r="G73" s="208"/>
      <c r="H73" s="209"/>
      <c r="I73" s="30"/>
      <c r="J73" s="210"/>
      <c r="K73" s="33"/>
      <c r="L73" s="4"/>
      <c r="T73" s="13"/>
      <c r="U73" s="13"/>
      <c r="V73" s="13"/>
    </row>
    <row r="74" spans="1:23" ht="22.2" customHeight="1" thickBot="1" x14ac:dyDescent="0.35">
      <c r="A74" s="71"/>
      <c r="B74" s="668" t="s">
        <v>267</v>
      </c>
      <c r="C74" s="669"/>
      <c r="D74" s="669"/>
      <c r="E74" s="669"/>
      <c r="F74" s="669"/>
      <c r="G74" s="669"/>
      <c r="H74" s="669"/>
      <c r="I74" s="669"/>
      <c r="J74" s="670"/>
      <c r="K74" s="13"/>
      <c r="L74" s="13"/>
      <c r="M74" s="13"/>
      <c r="P74" s="84"/>
    </row>
    <row r="75" spans="1:23" ht="27" customHeight="1" thickBot="1" x14ac:dyDescent="0.35">
      <c r="B75" s="753" t="s">
        <v>312</v>
      </c>
      <c r="C75" s="754"/>
      <c r="D75" s="754"/>
      <c r="E75" s="754"/>
      <c r="F75" s="754"/>
      <c r="G75" s="224" t="s">
        <v>140</v>
      </c>
      <c r="H75" s="225" t="s">
        <v>141</v>
      </c>
      <c r="I75" s="194"/>
      <c r="J75" s="302" t="s">
        <v>240</v>
      </c>
      <c r="L75" s="13"/>
      <c r="M75" s="13"/>
    </row>
    <row r="76" spans="1:23" ht="14.25" customHeight="1" thickBot="1" x14ac:dyDescent="0.35">
      <c r="B76" s="556"/>
      <c r="C76" s="555" t="s">
        <v>311</v>
      </c>
      <c r="D76" s="555"/>
      <c r="E76" s="554" t="s">
        <v>142</v>
      </c>
      <c r="F76" s="557"/>
      <c r="G76" s="234">
        <v>1</v>
      </c>
      <c r="H76" s="233">
        <f>VLOOKUP(E76,L85:M87,2,FALSE)</f>
        <v>0.1593</v>
      </c>
      <c r="I76" s="235"/>
      <c r="J76" s="236">
        <f>G76*H76</f>
        <v>0.1593</v>
      </c>
      <c r="L76" s="13"/>
      <c r="M76" s="13"/>
    </row>
    <row r="77" spans="1:23" ht="4.95" customHeight="1" thickBot="1" x14ac:dyDescent="0.35">
      <c r="B77" s="212"/>
      <c r="C77" s="206"/>
      <c r="D77" s="206"/>
      <c r="E77" s="206"/>
      <c r="F77" s="207"/>
      <c r="G77" s="208"/>
      <c r="H77" s="209"/>
      <c r="I77" s="30"/>
      <c r="J77" s="213"/>
      <c r="L77" s="13"/>
      <c r="M77" s="13"/>
    </row>
    <row r="78" spans="1:23" ht="14.25" customHeight="1" thickBot="1" x14ac:dyDescent="0.35">
      <c r="A78" s="71"/>
      <c r="B78" s="755" t="s">
        <v>117</v>
      </c>
      <c r="C78" s="645"/>
      <c r="D78" s="645"/>
      <c r="E78" s="645"/>
      <c r="F78" s="645"/>
      <c r="G78" s="645"/>
      <c r="H78" s="645"/>
      <c r="I78" s="215"/>
      <c r="J78" s="214">
        <f>J76</f>
        <v>0.1593</v>
      </c>
      <c r="K78" s="13"/>
      <c r="L78" s="13"/>
      <c r="M78" s="13"/>
      <c r="P78" s="84"/>
    </row>
    <row r="79" spans="1:23" ht="12.75" customHeight="1" thickBot="1" x14ac:dyDescent="0.35">
      <c r="B79" s="205"/>
      <c r="C79" s="206"/>
      <c r="D79" s="206"/>
      <c r="E79" s="206"/>
      <c r="F79" s="207"/>
      <c r="G79" s="208"/>
      <c r="H79" s="209"/>
      <c r="I79" s="30"/>
      <c r="J79" s="210"/>
      <c r="M79" s="13"/>
    </row>
    <row r="80" spans="1:23" ht="22.2" customHeight="1" thickBot="1" x14ac:dyDescent="0.35">
      <c r="A80" s="71"/>
      <c r="B80" s="644" t="s">
        <v>268</v>
      </c>
      <c r="C80" s="645"/>
      <c r="D80" s="645"/>
      <c r="E80" s="645"/>
      <c r="F80" s="645"/>
      <c r="G80" s="645"/>
      <c r="H80" s="645"/>
      <c r="I80" s="645"/>
      <c r="J80" s="646"/>
      <c r="K80" s="13"/>
      <c r="L80" s="13"/>
      <c r="M80" s="13"/>
      <c r="P80" s="84"/>
    </row>
    <row r="81" spans="1:22" ht="27.75" customHeight="1" thickBot="1" x14ac:dyDescent="0.35">
      <c r="B81" s="756" t="s">
        <v>111</v>
      </c>
      <c r="C81" s="757"/>
      <c r="D81" s="757"/>
      <c r="E81" s="757"/>
      <c r="F81" s="757"/>
      <c r="G81" s="757"/>
      <c r="H81" s="805" t="s">
        <v>112</v>
      </c>
      <c r="I81" s="807" t="s">
        <v>106</v>
      </c>
      <c r="J81" s="805" t="s">
        <v>239</v>
      </c>
      <c r="L81" s="13"/>
      <c r="M81" s="13"/>
    </row>
    <row r="82" spans="1:22" ht="14.25" hidden="1" customHeight="1" outlineLevel="1" thickBot="1" x14ac:dyDescent="0.35">
      <c r="B82" s="758" t="s">
        <v>143</v>
      </c>
      <c r="C82" s="715"/>
      <c r="D82" s="715"/>
      <c r="E82" s="715"/>
      <c r="F82" s="715"/>
      <c r="G82" s="715"/>
      <c r="H82" s="806"/>
      <c r="I82" s="808"/>
      <c r="J82" s="806"/>
      <c r="L82" s="13"/>
      <c r="M82" s="13"/>
    </row>
    <row r="83" spans="1:22" ht="14.25" hidden="1" customHeight="1" outlineLevel="1" x14ac:dyDescent="0.3">
      <c r="B83" s="262" t="s">
        <v>113</v>
      </c>
      <c r="C83" s="261"/>
      <c r="D83" s="261"/>
      <c r="E83" s="261"/>
      <c r="F83" s="261"/>
      <c r="G83" s="261"/>
      <c r="H83" s="299">
        <v>1</v>
      </c>
      <c r="I83" s="300">
        <v>6.4999999999999997E-3</v>
      </c>
      <c r="J83" s="301"/>
      <c r="L83" s="13"/>
      <c r="M83" s="13"/>
    </row>
    <row r="84" spans="1:22" ht="14.25" hidden="1" customHeight="1" outlineLevel="1" x14ac:dyDescent="0.3">
      <c r="B84" s="46" t="s">
        <v>114</v>
      </c>
      <c r="C84" s="47"/>
      <c r="D84" s="47"/>
      <c r="E84" s="47"/>
      <c r="F84" s="47"/>
      <c r="G84" s="47"/>
      <c r="H84" s="48">
        <v>1</v>
      </c>
      <c r="I84" s="49">
        <v>0.03</v>
      </c>
      <c r="J84" s="263"/>
      <c r="L84" s="13"/>
      <c r="M84" s="13"/>
    </row>
    <row r="85" spans="1:22" ht="14.25" hidden="1" customHeight="1" outlineLevel="1" x14ac:dyDescent="0.3">
      <c r="B85" s="46" t="s">
        <v>145</v>
      </c>
      <c r="C85" s="47"/>
      <c r="D85" s="47"/>
      <c r="E85" s="47"/>
      <c r="F85" s="47"/>
      <c r="G85" s="47"/>
      <c r="H85" s="48">
        <v>1</v>
      </c>
      <c r="I85" s="44">
        <v>1.0800000000000001E-2</v>
      </c>
      <c r="J85" s="263"/>
      <c r="L85" s="226" t="s">
        <v>144</v>
      </c>
      <c r="M85" s="227">
        <v>0.39500000000000002</v>
      </c>
    </row>
    <row r="86" spans="1:22" ht="14.25" hidden="1" customHeight="1" outlineLevel="1" x14ac:dyDescent="0.3">
      <c r="B86" s="264" t="s">
        <v>146</v>
      </c>
      <c r="C86" s="51"/>
      <c r="D86" s="51"/>
      <c r="E86" s="51"/>
      <c r="F86" s="51"/>
      <c r="G86" s="51"/>
      <c r="H86" s="52">
        <v>1</v>
      </c>
      <c r="I86" s="44">
        <v>0.08</v>
      </c>
      <c r="J86" s="263"/>
      <c r="L86" s="226" t="s">
        <v>142</v>
      </c>
      <c r="M86" s="227">
        <v>0.1593</v>
      </c>
    </row>
    <row r="87" spans="1:22" ht="14.25" hidden="1" customHeight="1" outlineLevel="1" x14ac:dyDescent="0.3">
      <c r="B87" s="46" t="s">
        <v>147</v>
      </c>
      <c r="C87" s="47"/>
      <c r="D87" s="47"/>
      <c r="E87" s="47"/>
      <c r="F87" s="47"/>
      <c r="G87" s="47"/>
      <c r="H87" s="48">
        <v>1</v>
      </c>
      <c r="I87" s="44">
        <v>0.18</v>
      </c>
      <c r="J87" s="263"/>
      <c r="L87" s="226" t="s">
        <v>235</v>
      </c>
      <c r="M87" s="227">
        <v>0.19500000000000001</v>
      </c>
    </row>
    <row r="88" spans="1:22" ht="14.25" hidden="1" customHeight="1" outlineLevel="1" thickBot="1" x14ac:dyDescent="0.35">
      <c r="B88" s="265" t="s">
        <v>148</v>
      </c>
      <c r="C88" s="266"/>
      <c r="D88" s="266"/>
      <c r="E88" s="266"/>
      <c r="F88" s="266"/>
      <c r="G88" s="266"/>
      <c r="H88" s="267">
        <v>1</v>
      </c>
      <c r="I88" s="268">
        <v>9.7500000000000003E-2</v>
      </c>
      <c r="J88" s="269"/>
      <c r="L88" s="13"/>
      <c r="M88" s="13"/>
    </row>
    <row r="89" spans="1:22" ht="4.2" hidden="1" customHeight="1" outlineLevel="1" thickBot="1" x14ac:dyDescent="0.35">
      <c r="B89" s="212"/>
      <c r="C89" s="206"/>
      <c r="D89" s="206"/>
      <c r="E89" s="206"/>
      <c r="F89" s="207"/>
      <c r="G89" s="208"/>
      <c r="H89" s="209"/>
      <c r="I89" s="30"/>
      <c r="J89" s="213"/>
      <c r="L89" s="13"/>
      <c r="M89" s="13"/>
    </row>
    <row r="90" spans="1:22" ht="17.399999999999999" customHeight="1" collapsed="1" thickBot="1" x14ac:dyDescent="0.35">
      <c r="A90" s="71"/>
      <c r="B90" s="765" t="s">
        <v>270</v>
      </c>
      <c r="C90" s="766"/>
      <c r="D90" s="766"/>
      <c r="E90" s="766"/>
      <c r="F90" s="766"/>
      <c r="G90" s="766"/>
      <c r="H90" s="766"/>
      <c r="I90" s="766"/>
      <c r="J90" s="222">
        <f>J96*J78</f>
        <v>0</v>
      </c>
      <c r="K90" s="13"/>
      <c r="L90" s="13"/>
      <c r="M90" s="13"/>
      <c r="P90" s="84"/>
    </row>
    <row r="91" spans="1:22" s="197" customFormat="1" ht="18" customHeight="1" thickBot="1" x14ac:dyDescent="0.35">
      <c r="B91" s="205"/>
      <c r="C91" s="206"/>
      <c r="D91" s="206"/>
      <c r="E91" s="206"/>
      <c r="F91" s="207"/>
      <c r="G91" s="208"/>
      <c r="H91" s="209"/>
      <c r="I91" s="30"/>
      <c r="J91" s="210"/>
      <c r="K91" s="228"/>
      <c r="L91" s="59"/>
      <c r="M91" s="59"/>
    </row>
    <row r="92" spans="1:22" ht="22.2" customHeight="1" thickBot="1" x14ac:dyDescent="0.35">
      <c r="A92" s="71"/>
      <c r="B92" s="759" t="s">
        <v>269</v>
      </c>
      <c r="C92" s="760"/>
      <c r="D92" s="760"/>
      <c r="E92" s="760"/>
      <c r="F92" s="760"/>
      <c r="G92" s="760"/>
      <c r="H92" s="760"/>
      <c r="I92" s="760"/>
      <c r="J92" s="761"/>
      <c r="K92" s="13"/>
      <c r="L92" s="13"/>
      <c r="M92" s="13"/>
      <c r="P92" s="84"/>
    </row>
    <row r="93" spans="1:22" ht="25.2" customHeight="1" thickBot="1" x14ac:dyDescent="0.35">
      <c r="B93" s="383"/>
      <c r="C93" s="92"/>
      <c r="D93" s="92"/>
      <c r="E93" s="92"/>
      <c r="F93" s="92"/>
      <c r="G93" s="92"/>
      <c r="H93" s="92"/>
      <c r="I93" s="93" t="s">
        <v>149</v>
      </c>
      <c r="J93" s="384">
        <f>(J56+J67+J72)*(1+J78)</f>
        <v>0</v>
      </c>
      <c r="L93" s="13"/>
      <c r="M93" s="13"/>
    </row>
    <row r="94" spans="1:22" ht="25.2" customHeight="1" thickBot="1" x14ac:dyDescent="0.35">
      <c r="B94" s="767"/>
      <c r="C94" s="768"/>
      <c r="D94" s="768"/>
      <c r="E94" s="768"/>
      <c r="F94" s="768"/>
      <c r="G94" s="768"/>
      <c r="H94" s="769"/>
      <c r="I94" s="461">
        <v>0.40046599999999993</v>
      </c>
      <c r="J94" s="385">
        <f>ROUND(J93*I94,2)*(1+J78)</f>
        <v>0</v>
      </c>
      <c r="L94" s="13"/>
      <c r="M94" s="13"/>
      <c r="N94" s="13"/>
      <c r="O94" s="16"/>
    </row>
    <row r="95" spans="1:22" ht="25.2" customHeight="1" thickBot="1" x14ac:dyDescent="0.35">
      <c r="B95" s="386"/>
      <c r="C95" s="55"/>
      <c r="D95" s="56"/>
      <c r="E95" s="375"/>
      <c r="F95" s="55"/>
      <c r="G95" s="762" t="s">
        <v>150</v>
      </c>
      <c r="H95" s="763"/>
      <c r="I95" s="764"/>
      <c r="J95" s="393">
        <f>J93+J94</f>
        <v>0</v>
      </c>
      <c r="L95" s="13"/>
      <c r="M95" s="13"/>
      <c r="N95" s="13"/>
      <c r="O95" s="16"/>
    </row>
    <row r="96" spans="1:22" s="88" customFormat="1" ht="30" customHeight="1" outlineLevel="1" thickBot="1" x14ac:dyDescent="0.35">
      <c r="B96" s="770" t="s">
        <v>247</v>
      </c>
      <c r="C96" s="771"/>
      <c r="D96" s="771"/>
      <c r="E96" s="558" t="s">
        <v>313</v>
      </c>
      <c r="F96" s="559" t="s">
        <v>191</v>
      </c>
      <c r="G96" s="382">
        <f>IF(F96="Imediato",0,IF(F96="30 dias",0.02,IF(F96="60 dias",0.04,IF(F96="90 dias",0.06,))))</f>
        <v>0</v>
      </c>
      <c r="H96" s="751" t="s">
        <v>261</v>
      </c>
      <c r="I96" s="752"/>
      <c r="J96" s="381">
        <f>ROUND(J95*(1+G96),)</f>
        <v>0</v>
      </c>
      <c r="K96" s="322"/>
      <c r="L96" s="327"/>
      <c r="M96" s="323"/>
      <c r="T96" s="324"/>
      <c r="U96" s="324"/>
      <c r="V96" s="324"/>
    </row>
    <row r="97" spans="2:13" ht="20.399999999999999" customHeight="1" thickBot="1" x14ac:dyDescent="0.35">
      <c r="B97" s="387"/>
      <c r="G97" s="812" t="s">
        <v>119</v>
      </c>
      <c r="H97" s="813"/>
      <c r="I97" s="809">
        <f>J94</f>
        <v>0</v>
      </c>
      <c r="J97" s="365" t="s">
        <v>249</v>
      </c>
      <c r="L97" s="13"/>
      <c r="M97" s="13"/>
    </row>
    <row r="98" spans="2:13" ht="14.4" customHeight="1" x14ac:dyDescent="0.3">
      <c r="B98" s="388"/>
      <c r="C98" s="15"/>
      <c r="D98" s="73"/>
      <c r="F98" s="39"/>
      <c r="G98" s="814"/>
      <c r="H98" s="815"/>
      <c r="I98" s="810"/>
      <c r="J98" s="818">
        <f>IFERROR(I97/J96,0)</f>
        <v>0</v>
      </c>
    </row>
    <row r="99" spans="2:13" ht="13.2" customHeight="1" thickBot="1" x14ac:dyDescent="0.35">
      <c r="B99" s="389"/>
      <c r="C99" s="390"/>
      <c r="D99" s="391"/>
      <c r="E99" s="391"/>
      <c r="F99" s="392"/>
      <c r="G99" s="816"/>
      <c r="H99" s="817"/>
      <c r="I99" s="811"/>
      <c r="J99" s="819"/>
      <c r="K99" s="462"/>
    </row>
    <row r="100" spans="2:13" s="70" customFormat="1" ht="13.2" customHeight="1" thickBot="1" x14ac:dyDescent="0.35">
      <c r="C100" s="376"/>
      <c r="F100" s="377"/>
      <c r="G100" s="378"/>
      <c r="H100" s="378"/>
      <c r="I100" s="379"/>
      <c r="J100" s="380"/>
    </row>
    <row r="101" spans="2:13" ht="12.75" customHeight="1" thickBot="1" x14ac:dyDescent="0.35">
      <c r="E101" s="702" t="s">
        <v>120</v>
      </c>
      <c r="F101" s="749"/>
      <c r="G101" s="750"/>
      <c r="H101" s="69"/>
    </row>
    <row r="102" spans="2:13" ht="12.75" customHeight="1" thickBot="1" x14ac:dyDescent="0.35">
      <c r="E102" s="239" t="s">
        <v>242</v>
      </c>
      <c r="F102" s="180" t="s">
        <v>122</v>
      </c>
      <c r="G102" s="317" t="s">
        <v>123</v>
      </c>
      <c r="H102" s="316"/>
    </row>
    <row r="103" spans="2:13" ht="12.75" customHeight="1" x14ac:dyDescent="0.3">
      <c r="E103" s="328" t="s">
        <v>241</v>
      </c>
      <c r="F103" s="242">
        <v>0.35</v>
      </c>
      <c r="G103" s="320">
        <v>0.25</v>
      </c>
      <c r="H103" s="172"/>
    </row>
    <row r="104" spans="2:13" ht="12.75" customHeight="1" x14ac:dyDescent="0.3">
      <c r="E104" s="329" t="s">
        <v>245</v>
      </c>
      <c r="F104" s="181">
        <v>0.4</v>
      </c>
      <c r="G104" s="318">
        <v>0.25</v>
      </c>
      <c r="H104" s="172"/>
    </row>
    <row r="105" spans="2:13" ht="12.75" customHeight="1" x14ac:dyDescent="0.3">
      <c r="E105" s="329" t="s">
        <v>246</v>
      </c>
      <c r="F105" s="181">
        <v>0.4</v>
      </c>
      <c r="G105" s="318">
        <v>0.25</v>
      </c>
      <c r="H105" s="172"/>
    </row>
    <row r="106" spans="2:13" ht="12.75" customHeight="1" thickBot="1" x14ac:dyDescent="0.35">
      <c r="E106" s="330" t="s">
        <v>248</v>
      </c>
      <c r="F106" s="182">
        <v>0.5</v>
      </c>
      <c r="G106" s="319">
        <v>0.35</v>
      </c>
      <c r="H106" s="172"/>
    </row>
    <row r="107" spans="2:13" ht="12.75" customHeight="1" x14ac:dyDescent="0.3">
      <c r="E107" s="321"/>
      <c r="F107" s="78"/>
      <c r="G107" s="78"/>
      <c r="H107" s="172"/>
    </row>
    <row r="108" spans="2:13" ht="12.75" customHeight="1" x14ac:dyDescent="0.3">
      <c r="E108" s="321"/>
      <c r="F108" s="78"/>
      <c r="G108" s="78"/>
      <c r="H108" s="172"/>
    </row>
    <row r="109" spans="2:13" ht="12.75" customHeight="1" x14ac:dyDescent="0.3">
      <c r="E109" s="321"/>
      <c r="F109" s="78"/>
      <c r="G109" s="78"/>
      <c r="H109" s="172"/>
    </row>
    <row r="110" spans="2:13" ht="12.75" customHeight="1" thickBot="1" x14ac:dyDescent="0.35">
      <c r="E110" s="71"/>
      <c r="F110" s="71"/>
      <c r="G110" s="78"/>
      <c r="H110" s="75"/>
    </row>
    <row r="111" spans="2:13" ht="12.75" customHeight="1" thickBot="1" x14ac:dyDescent="0.35">
      <c r="E111" s="705" t="s">
        <v>125</v>
      </c>
      <c r="F111" s="706"/>
      <c r="G111" s="706"/>
      <c r="H111" s="707"/>
    </row>
    <row r="112" spans="2:13" ht="12.75" customHeight="1" x14ac:dyDescent="0.3">
      <c r="H112" s="71"/>
    </row>
    <row r="113" spans="8:8" ht="12.75" customHeight="1" x14ac:dyDescent="0.3">
      <c r="H113" s="71"/>
    </row>
    <row r="114" spans="8:8" ht="12.75" customHeight="1" x14ac:dyDescent="0.3">
      <c r="H114" s="71"/>
    </row>
    <row r="115" spans="8:8" ht="12.75" customHeight="1" x14ac:dyDescent="0.3">
      <c r="H115" s="71"/>
    </row>
    <row r="116" spans="8:8" ht="12.75" customHeight="1" x14ac:dyDescent="0.3">
      <c r="H116" s="71"/>
    </row>
    <row r="117" spans="8:8" ht="12.75" customHeight="1" x14ac:dyDescent="0.3">
      <c r="H117" s="71"/>
    </row>
    <row r="118" spans="8:8" ht="12.75" customHeight="1" x14ac:dyDescent="0.3">
      <c r="H118" s="71"/>
    </row>
    <row r="119" spans="8:8" ht="12.75" customHeight="1" x14ac:dyDescent="0.3">
      <c r="H119" s="71"/>
    </row>
    <row r="120" spans="8:8" ht="12.75" customHeight="1" x14ac:dyDescent="0.3">
      <c r="H120" s="71"/>
    </row>
    <row r="121" spans="8:8" ht="12.75" customHeight="1" x14ac:dyDescent="0.3">
      <c r="H121" s="71"/>
    </row>
    <row r="122" spans="8:8" ht="12.75" customHeight="1" x14ac:dyDescent="0.3">
      <c r="H122" s="71"/>
    </row>
    <row r="123" spans="8:8" ht="12.75" customHeight="1" x14ac:dyDescent="0.3">
      <c r="H123" s="71"/>
    </row>
    <row r="124" spans="8:8" ht="12.75" customHeight="1" x14ac:dyDescent="0.3">
      <c r="H124" s="71"/>
    </row>
    <row r="125" spans="8:8" ht="12.75" customHeight="1" x14ac:dyDescent="0.3">
      <c r="H125" s="71"/>
    </row>
    <row r="126" spans="8:8" ht="12.75" customHeight="1" x14ac:dyDescent="0.3">
      <c r="H126" s="71"/>
    </row>
    <row r="127" spans="8:8" ht="12.75" customHeight="1" x14ac:dyDescent="0.3">
      <c r="H127" s="71"/>
    </row>
    <row r="128" spans="8:8" ht="12.75" customHeight="1" x14ac:dyDescent="0.3">
      <c r="H128" s="71"/>
    </row>
    <row r="129" spans="8:8" ht="12.75" customHeight="1" x14ac:dyDescent="0.3">
      <c r="H129" s="71"/>
    </row>
    <row r="130" spans="8:8" ht="12.75" customHeight="1" x14ac:dyDescent="0.3">
      <c r="H130" s="71"/>
    </row>
    <row r="131" spans="8:8" ht="12.75" customHeight="1" x14ac:dyDescent="0.3">
      <c r="H131" s="71"/>
    </row>
    <row r="132" spans="8:8" ht="12.75" customHeight="1" x14ac:dyDescent="0.3">
      <c r="H132" s="71"/>
    </row>
    <row r="133" spans="8:8" ht="12.75" customHeight="1" x14ac:dyDescent="0.3">
      <c r="H133" s="71"/>
    </row>
    <row r="134" spans="8:8" ht="12.75" customHeight="1" x14ac:dyDescent="0.3">
      <c r="H134" s="71"/>
    </row>
    <row r="135" spans="8:8" ht="12.75" customHeight="1" x14ac:dyDescent="0.3">
      <c r="H135" s="71"/>
    </row>
    <row r="136" spans="8:8" ht="12.75" customHeight="1" x14ac:dyDescent="0.3">
      <c r="H136" s="71"/>
    </row>
    <row r="137" spans="8:8" ht="12.75" customHeight="1" x14ac:dyDescent="0.3">
      <c r="H137" s="71"/>
    </row>
    <row r="138" spans="8:8" ht="12.75" customHeight="1" x14ac:dyDescent="0.3">
      <c r="H138" s="71"/>
    </row>
    <row r="139" spans="8:8" ht="12.75" customHeight="1" x14ac:dyDescent="0.3">
      <c r="H139" s="71"/>
    </row>
    <row r="140" spans="8:8" ht="12.75" customHeight="1" x14ac:dyDescent="0.3">
      <c r="H140" s="71"/>
    </row>
    <row r="141" spans="8:8" ht="12.75" customHeight="1" x14ac:dyDescent="0.3">
      <c r="H141" s="71"/>
    </row>
    <row r="142" spans="8:8" ht="12.75" customHeight="1" x14ac:dyDescent="0.3">
      <c r="H142" s="71"/>
    </row>
    <row r="143" spans="8:8" ht="12.75" customHeight="1" x14ac:dyDescent="0.3">
      <c r="H143" s="71"/>
    </row>
    <row r="144" spans="8:8" ht="12.75" customHeight="1" x14ac:dyDescent="0.3">
      <c r="H144" s="71"/>
    </row>
    <row r="145" spans="8:8" ht="12.75" customHeight="1" x14ac:dyDescent="0.3">
      <c r="H145" s="71"/>
    </row>
    <row r="146" spans="8:8" ht="12.75" customHeight="1" x14ac:dyDescent="0.3">
      <c r="H146" s="71"/>
    </row>
    <row r="147" spans="8:8" ht="12.75" customHeight="1" x14ac:dyDescent="0.3">
      <c r="H147" s="71"/>
    </row>
    <row r="148" spans="8:8" ht="12.75" customHeight="1" x14ac:dyDescent="0.3">
      <c r="H148" s="71"/>
    </row>
    <row r="149" spans="8:8" ht="12.75" customHeight="1" x14ac:dyDescent="0.3">
      <c r="H149" s="71"/>
    </row>
    <row r="150" spans="8:8" ht="12.75" customHeight="1" x14ac:dyDescent="0.3">
      <c r="H150" s="71"/>
    </row>
    <row r="151" spans="8:8" ht="12.75" customHeight="1" x14ac:dyDescent="0.3">
      <c r="H151" s="71"/>
    </row>
    <row r="152" spans="8:8" ht="12.75" customHeight="1" x14ac:dyDescent="0.3">
      <c r="H152" s="71"/>
    </row>
    <row r="153" spans="8:8" ht="12.75" customHeight="1" x14ac:dyDescent="0.3">
      <c r="H153" s="71"/>
    </row>
    <row r="154" spans="8:8" ht="12.75" customHeight="1" x14ac:dyDescent="0.3">
      <c r="H154" s="71"/>
    </row>
    <row r="155" spans="8:8" ht="12.75" customHeight="1" x14ac:dyDescent="0.3">
      <c r="H155" s="71"/>
    </row>
    <row r="156" spans="8:8" ht="12.75" customHeight="1" x14ac:dyDescent="0.3">
      <c r="H156" s="71"/>
    </row>
    <row r="157" spans="8:8" ht="12.75" customHeight="1" x14ac:dyDescent="0.3">
      <c r="H157" s="71"/>
    </row>
    <row r="158" spans="8:8" ht="12.75" customHeight="1" x14ac:dyDescent="0.3">
      <c r="H158" s="71"/>
    </row>
    <row r="159" spans="8:8" ht="12.75" customHeight="1" x14ac:dyDescent="0.3">
      <c r="H159" s="71"/>
    </row>
    <row r="160" spans="8:8" ht="12.75" customHeight="1" x14ac:dyDescent="0.3">
      <c r="H160" s="71"/>
    </row>
    <row r="161" spans="8:8" ht="12.75" customHeight="1" x14ac:dyDescent="0.3">
      <c r="H161" s="71"/>
    </row>
    <row r="162" spans="8:8" ht="12.75" customHeight="1" x14ac:dyDescent="0.3">
      <c r="H162" s="71"/>
    </row>
    <row r="163" spans="8:8" ht="12.75" customHeight="1" x14ac:dyDescent="0.3">
      <c r="H163" s="71"/>
    </row>
    <row r="164" spans="8:8" ht="12.75" customHeight="1" x14ac:dyDescent="0.3">
      <c r="H164" s="71"/>
    </row>
    <row r="165" spans="8:8" ht="12.75" customHeight="1" x14ac:dyDescent="0.3">
      <c r="H165" s="71"/>
    </row>
    <row r="166" spans="8:8" ht="12.75" customHeight="1" x14ac:dyDescent="0.3">
      <c r="H166" s="71"/>
    </row>
    <row r="167" spans="8:8" ht="12.75" customHeight="1" x14ac:dyDescent="0.3">
      <c r="H167" s="71"/>
    </row>
    <row r="168" spans="8:8" ht="12.75" customHeight="1" x14ac:dyDescent="0.3">
      <c r="H168" s="71"/>
    </row>
    <row r="169" spans="8:8" ht="12.75" customHeight="1" x14ac:dyDescent="0.3">
      <c r="H169" s="71"/>
    </row>
    <row r="170" spans="8:8" ht="12.75" customHeight="1" x14ac:dyDescent="0.3">
      <c r="H170" s="71"/>
    </row>
    <row r="171" spans="8:8" ht="12.75" customHeight="1" x14ac:dyDescent="0.3">
      <c r="H171" s="71"/>
    </row>
    <row r="172" spans="8:8" ht="12.75" customHeight="1" x14ac:dyDescent="0.3">
      <c r="H172" s="71"/>
    </row>
    <row r="173" spans="8:8" ht="12.75" customHeight="1" x14ac:dyDescent="0.3">
      <c r="H173" s="71"/>
    </row>
    <row r="174" spans="8:8" ht="12.75" customHeight="1" x14ac:dyDescent="0.3">
      <c r="H174" s="71"/>
    </row>
    <row r="175" spans="8:8" ht="12.75" customHeight="1" x14ac:dyDescent="0.3">
      <c r="H175" s="71"/>
    </row>
    <row r="176" spans="8:8" ht="12.75" customHeight="1" x14ac:dyDescent="0.3">
      <c r="H176" s="71"/>
    </row>
    <row r="177" spans="8:8" ht="12.75" customHeight="1" x14ac:dyDescent="0.3">
      <c r="H177" s="71"/>
    </row>
    <row r="178" spans="8:8" ht="12.75" customHeight="1" x14ac:dyDescent="0.3">
      <c r="H178" s="71"/>
    </row>
    <row r="179" spans="8:8" ht="12.75" customHeight="1" x14ac:dyDescent="0.3">
      <c r="H179" s="71"/>
    </row>
    <row r="180" spans="8:8" ht="12.75" customHeight="1" x14ac:dyDescent="0.3">
      <c r="H180" s="71"/>
    </row>
    <row r="181" spans="8:8" ht="12.75" customHeight="1" x14ac:dyDescent="0.3">
      <c r="H181" s="71"/>
    </row>
    <row r="182" spans="8:8" ht="12.75" customHeight="1" x14ac:dyDescent="0.3">
      <c r="H182" s="71"/>
    </row>
    <row r="183" spans="8:8" ht="12.75" customHeight="1" x14ac:dyDescent="0.3">
      <c r="H183" s="71"/>
    </row>
    <row r="184" spans="8:8" ht="12.75" customHeight="1" x14ac:dyDescent="0.3">
      <c r="H184" s="71"/>
    </row>
    <row r="185" spans="8:8" ht="12.75" customHeight="1" x14ac:dyDescent="0.3">
      <c r="H185" s="71"/>
    </row>
    <row r="186" spans="8:8" ht="12.75" customHeight="1" x14ac:dyDescent="0.3">
      <c r="H186" s="71"/>
    </row>
    <row r="187" spans="8:8" ht="12.75" customHeight="1" x14ac:dyDescent="0.3">
      <c r="H187" s="71"/>
    </row>
    <row r="188" spans="8:8" ht="12.75" customHeight="1" x14ac:dyDescent="0.3">
      <c r="H188" s="71"/>
    </row>
    <row r="189" spans="8:8" ht="12.75" customHeight="1" x14ac:dyDescent="0.3">
      <c r="H189" s="71"/>
    </row>
    <row r="190" spans="8:8" ht="12.75" customHeight="1" x14ac:dyDescent="0.3">
      <c r="H190" s="71"/>
    </row>
    <row r="191" spans="8:8" ht="12.75" customHeight="1" x14ac:dyDescent="0.3">
      <c r="H191" s="71"/>
    </row>
    <row r="192" spans="8:8" ht="12.75" customHeight="1" x14ac:dyDescent="0.3">
      <c r="H192" s="71"/>
    </row>
    <row r="193" spans="8:8" ht="12.75" customHeight="1" x14ac:dyDescent="0.3">
      <c r="H193" s="71"/>
    </row>
    <row r="194" spans="8:8" ht="12.75" customHeight="1" x14ac:dyDescent="0.3">
      <c r="H194" s="71"/>
    </row>
    <row r="195" spans="8:8" ht="12.75" customHeight="1" x14ac:dyDescent="0.3">
      <c r="H195" s="71"/>
    </row>
    <row r="196" spans="8:8" ht="12.75" customHeight="1" x14ac:dyDescent="0.3">
      <c r="H196" s="71"/>
    </row>
    <row r="197" spans="8:8" ht="12.75" customHeight="1" x14ac:dyDescent="0.3">
      <c r="H197" s="71"/>
    </row>
    <row r="198" spans="8:8" ht="12.75" customHeight="1" x14ac:dyDescent="0.3">
      <c r="H198" s="71"/>
    </row>
    <row r="199" spans="8:8" ht="12.75" customHeight="1" x14ac:dyDescent="0.3">
      <c r="H199" s="71"/>
    </row>
    <row r="200" spans="8:8" ht="12.75" customHeight="1" x14ac:dyDescent="0.3">
      <c r="H200" s="71"/>
    </row>
    <row r="201" spans="8:8" ht="12.75" customHeight="1" x14ac:dyDescent="0.3">
      <c r="H201" s="71"/>
    </row>
    <row r="202" spans="8:8" ht="12.75" customHeight="1" x14ac:dyDescent="0.3">
      <c r="H202" s="71"/>
    </row>
    <row r="203" spans="8:8" ht="12.75" customHeight="1" x14ac:dyDescent="0.3">
      <c r="H203" s="71"/>
    </row>
    <row r="204" spans="8:8" ht="12.75" customHeight="1" x14ac:dyDescent="0.3">
      <c r="H204" s="71"/>
    </row>
    <row r="205" spans="8:8" ht="12.75" customHeight="1" x14ac:dyDescent="0.3">
      <c r="H205" s="71"/>
    </row>
    <row r="206" spans="8:8" ht="12.75" customHeight="1" x14ac:dyDescent="0.3">
      <c r="H206" s="71"/>
    </row>
    <row r="207" spans="8:8" ht="12.75" customHeight="1" x14ac:dyDescent="0.3">
      <c r="H207" s="71"/>
    </row>
    <row r="208" spans="8:8" ht="12.75" customHeight="1" x14ac:dyDescent="0.3">
      <c r="H208" s="71"/>
    </row>
    <row r="209" spans="8:8" ht="12.75" customHeight="1" x14ac:dyDescent="0.3">
      <c r="H209" s="71"/>
    </row>
    <row r="210" spans="8:8" ht="12.75" customHeight="1" x14ac:dyDescent="0.3">
      <c r="H210" s="71"/>
    </row>
    <row r="211" spans="8:8" ht="12.75" customHeight="1" x14ac:dyDescent="0.3">
      <c r="H211" s="71"/>
    </row>
    <row r="212" spans="8:8" ht="12.75" customHeight="1" x14ac:dyDescent="0.3">
      <c r="H212" s="71"/>
    </row>
    <row r="213" spans="8:8" ht="12.75" customHeight="1" x14ac:dyDescent="0.3">
      <c r="H213" s="71"/>
    </row>
    <row r="214" spans="8:8" ht="12.75" customHeight="1" x14ac:dyDescent="0.3">
      <c r="H214" s="71"/>
    </row>
    <row r="215" spans="8:8" ht="12.75" customHeight="1" x14ac:dyDescent="0.3">
      <c r="H215" s="71"/>
    </row>
    <row r="216" spans="8:8" ht="12.75" customHeight="1" x14ac:dyDescent="0.3">
      <c r="H216" s="71"/>
    </row>
    <row r="217" spans="8:8" ht="12.75" customHeight="1" x14ac:dyDescent="0.3">
      <c r="H217" s="71"/>
    </row>
    <row r="218" spans="8:8" ht="12.75" customHeight="1" x14ac:dyDescent="0.3">
      <c r="H218" s="71"/>
    </row>
    <row r="219" spans="8:8" ht="12.75" customHeight="1" x14ac:dyDescent="0.3">
      <c r="H219" s="71"/>
    </row>
    <row r="220" spans="8:8" ht="12.75" customHeight="1" x14ac:dyDescent="0.3">
      <c r="H220" s="71"/>
    </row>
    <row r="221" spans="8:8" ht="12.75" customHeight="1" x14ac:dyDescent="0.3">
      <c r="H221" s="71"/>
    </row>
    <row r="222" spans="8:8" ht="12.75" customHeight="1" x14ac:dyDescent="0.3">
      <c r="H222" s="71"/>
    </row>
    <row r="223" spans="8:8" ht="12.75" customHeight="1" x14ac:dyDescent="0.3">
      <c r="H223" s="71"/>
    </row>
    <row r="224" spans="8:8" ht="12.75" customHeight="1" x14ac:dyDescent="0.3">
      <c r="H224" s="71"/>
    </row>
    <row r="225" spans="8:8" ht="12.75" customHeight="1" x14ac:dyDescent="0.3">
      <c r="H225" s="71"/>
    </row>
    <row r="226" spans="8:8" ht="12.75" customHeight="1" x14ac:dyDescent="0.3">
      <c r="H226" s="71"/>
    </row>
    <row r="227" spans="8:8" ht="12.75" customHeight="1" x14ac:dyDescent="0.3">
      <c r="H227" s="71"/>
    </row>
    <row r="228" spans="8:8" ht="12.75" customHeight="1" x14ac:dyDescent="0.3">
      <c r="H228" s="71"/>
    </row>
    <row r="229" spans="8:8" ht="12.75" customHeight="1" x14ac:dyDescent="0.3">
      <c r="H229" s="71"/>
    </row>
    <row r="230" spans="8:8" ht="12.75" customHeight="1" x14ac:dyDescent="0.3">
      <c r="H230" s="71"/>
    </row>
    <row r="231" spans="8:8" ht="12.75" customHeight="1" x14ac:dyDescent="0.3">
      <c r="H231" s="71"/>
    </row>
    <row r="232" spans="8:8" ht="12.75" customHeight="1" x14ac:dyDescent="0.3">
      <c r="H232" s="71"/>
    </row>
    <row r="233" spans="8:8" ht="12.75" customHeight="1" x14ac:dyDescent="0.3">
      <c r="H233" s="71"/>
    </row>
    <row r="234" spans="8:8" ht="12.75" customHeight="1" x14ac:dyDescent="0.3">
      <c r="H234" s="71"/>
    </row>
    <row r="235" spans="8:8" ht="12.75" customHeight="1" x14ac:dyDescent="0.3">
      <c r="H235" s="71"/>
    </row>
    <row r="236" spans="8:8" ht="12.75" customHeight="1" x14ac:dyDescent="0.3">
      <c r="H236" s="71"/>
    </row>
    <row r="237" spans="8:8" ht="12.75" customHeight="1" x14ac:dyDescent="0.3">
      <c r="H237" s="71"/>
    </row>
    <row r="238" spans="8:8" ht="12.75" customHeight="1" x14ac:dyDescent="0.3">
      <c r="H238" s="71"/>
    </row>
    <row r="239" spans="8:8" ht="12.75" customHeight="1" x14ac:dyDescent="0.3">
      <c r="H239" s="71"/>
    </row>
    <row r="240" spans="8:8" ht="12.75" customHeight="1" x14ac:dyDescent="0.3">
      <c r="H240" s="71"/>
    </row>
    <row r="241" spans="8:8" ht="12.75" customHeight="1" x14ac:dyDescent="0.3">
      <c r="H241" s="71"/>
    </row>
    <row r="242" spans="8:8" ht="12.75" customHeight="1" x14ac:dyDescent="0.3">
      <c r="H242" s="71"/>
    </row>
    <row r="243" spans="8:8" ht="12.75" customHeight="1" x14ac:dyDescent="0.3">
      <c r="H243" s="71"/>
    </row>
    <row r="244" spans="8:8" ht="12.75" customHeight="1" x14ac:dyDescent="0.3">
      <c r="H244" s="71"/>
    </row>
    <row r="245" spans="8:8" ht="12.75" customHeight="1" x14ac:dyDescent="0.3">
      <c r="H245" s="71"/>
    </row>
    <row r="246" spans="8:8" ht="12.75" customHeight="1" x14ac:dyDescent="0.3">
      <c r="H246" s="71"/>
    </row>
    <row r="247" spans="8:8" ht="12.75" customHeight="1" x14ac:dyDescent="0.3">
      <c r="H247" s="71"/>
    </row>
    <row r="248" spans="8:8" ht="12.75" customHeight="1" x14ac:dyDescent="0.3">
      <c r="H248" s="71"/>
    </row>
    <row r="249" spans="8:8" ht="12.75" customHeight="1" x14ac:dyDescent="0.3">
      <c r="H249" s="71"/>
    </row>
    <row r="250" spans="8:8" ht="12.75" customHeight="1" x14ac:dyDescent="0.3">
      <c r="H250" s="71"/>
    </row>
    <row r="251" spans="8:8" ht="12.75" customHeight="1" x14ac:dyDescent="0.3">
      <c r="H251" s="71"/>
    </row>
    <row r="252" spans="8:8" ht="12.75" customHeight="1" x14ac:dyDescent="0.3">
      <c r="H252" s="71"/>
    </row>
    <row r="253" spans="8:8" ht="12.75" customHeight="1" x14ac:dyDescent="0.3">
      <c r="H253" s="71"/>
    </row>
    <row r="254" spans="8:8" ht="12.75" customHeight="1" x14ac:dyDescent="0.3">
      <c r="H254" s="71"/>
    </row>
    <row r="255" spans="8:8" ht="12.75" customHeight="1" x14ac:dyDescent="0.3">
      <c r="H255" s="71"/>
    </row>
    <row r="256" spans="8:8" ht="12.75" customHeight="1" x14ac:dyDescent="0.3">
      <c r="H256" s="71"/>
    </row>
    <row r="257" spans="8:8" ht="12.75" customHeight="1" x14ac:dyDescent="0.3">
      <c r="H257" s="71"/>
    </row>
    <row r="258" spans="8:8" ht="12.75" customHeight="1" x14ac:dyDescent="0.3">
      <c r="H258" s="71"/>
    </row>
    <row r="259" spans="8:8" ht="12.75" customHeight="1" x14ac:dyDescent="0.3">
      <c r="H259" s="71"/>
    </row>
    <row r="260" spans="8:8" ht="12.75" customHeight="1" x14ac:dyDescent="0.3">
      <c r="H260" s="71"/>
    </row>
    <row r="261" spans="8:8" ht="12.75" customHeight="1" x14ac:dyDescent="0.3">
      <c r="H261" s="71"/>
    </row>
    <row r="262" spans="8:8" ht="12.75" customHeight="1" x14ac:dyDescent="0.3">
      <c r="H262" s="71"/>
    </row>
    <row r="263" spans="8:8" ht="12.75" customHeight="1" x14ac:dyDescent="0.3">
      <c r="H263" s="71"/>
    </row>
    <row r="264" spans="8:8" ht="12.75" customHeight="1" x14ac:dyDescent="0.3">
      <c r="H264" s="71"/>
    </row>
    <row r="265" spans="8:8" ht="12.75" customHeight="1" x14ac:dyDescent="0.3">
      <c r="H265" s="71"/>
    </row>
    <row r="266" spans="8:8" ht="12.75" customHeight="1" x14ac:dyDescent="0.3">
      <c r="H266" s="71"/>
    </row>
    <row r="267" spans="8:8" ht="12.75" customHeight="1" x14ac:dyDescent="0.3">
      <c r="H267" s="71"/>
    </row>
    <row r="268" spans="8:8" ht="12.75" customHeight="1" x14ac:dyDescent="0.3">
      <c r="H268" s="71"/>
    </row>
    <row r="269" spans="8:8" ht="12.75" customHeight="1" x14ac:dyDescent="0.3">
      <c r="H269" s="71"/>
    </row>
    <row r="270" spans="8:8" ht="12.75" customHeight="1" x14ac:dyDescent="0.3">
      <c r="H270" s="71"/>
    </row>
    <row r="271" spans="8:8" ht="12.75" customHeight="1" x14ac:dyDescent="0.3">
      <c r="H271" s="71"/>
    </row>
    <row r="272" spans="8:8" ht="12.75" customHeight="1" x14ac:dyDescent="0.3">
      <c r="H272" s="71"/>
    </row>
    <row r="273" spans="8:8" ht="12.75" customHeight="1" x14ac:dyDescent="0.3">
      <c r="H273" s="71"/>
    </row>
    <row r="274" spans="8:8" ht="12.75" customHeight="1" x14ac:dyDescent="0.3">
      <c r="H274" s="71"/>
    </row>
    <row r="275" spans="8:8" ht="12.75" customHeight="1" x14ac:dyDescent="0.3">
      <c r="H275" s="71"/>
    </row>
    <row r="276" spans="8:8" ht="12.75" customHeight="1" x14ac:dyDescent="0.3">
      <c r="H276" s="71"/>
    </row>
    <row r="277" spans="8:8" ht="12.75" customHeight="1" x14ac:dyDescent="0.3">
      <c r="H277" s="71"/>
    </row>
    <row r="278" spans="8:8" ht="12.75" customHeight="1" x14ac:dyDescent="0.3">
      <c r="H278" s="71"/>
    </row>
    <row r="279" spans="8:8" ht="12.75" customHeight="1" x14ac:dyDescent="0.3">
      <c r="H279" s="71"/>
    </row>
    <row r="280" spans="8:8" ht="12.75" customHeight="1" x14ac:dyDescent="0.3">
      <c r="H280" s="71"/>
    </row>
    <row r="281" spans="8:8" ht="12.75" customHeight="1" x14ac:dyDescent="0.3">
      <c r="H281" s="71"/>
    </row>
    <row r="282" spans="8:8" ht="12.75" customHeight="1" x14ac:dyDescent="0.3">
      <c r="H282" s="71"/>
    </row>
    <row r="283" spans="8:8" ht="12.75" customHeight="1" x14ac:dyDescent="0.3">
      <c r="H283" s="71"/>
    </row>
    <row r="284" spans="8:8" ht="12.75" customHeight="1" x14ac:dyDescent="0.3">
      <c r="H284" s="71"/>
    </row>
    <row r="285" spans="8:8" ht="12.75" customHeight="1" x14ac:dyDescent="0.3">
      <c r="H285" s="71"/>
    </row>
    <row r="286" spans="8:8" ht="12.75" customHeight="1" x14ac:dyDescent="0.3">
      <c r="H286" s="71"/>
    </row>
    <row r="287" spans="8:8" ht="15.75" customHeight="1" x14ac:dyDescent="0.3">
      <c r="H287" s="71"/>
    </row>
    <row r="288" spans="8:8" ht="15.75" customHeight="1" x14ac:dyDescent="0.3">
      <c r="H288" s="71"/>
    </row>
    <row r="289" spans="8:8" ht="15.75" customHeight="1" x14ac:dyDescent="0.3">
      <c r="H289" s="71"/>
    </row>
    <row r="290" spans="8:8" ht="15.75" customHeight="1" x14ac:dyDescent="0.3">
      <c r="H290" s="71"/>
    </row>
    <row r="291" spans="8:8" ht="15.75" customHeight="1" x14ac:dyDescent="0.3">
      <c r="H291" s="71"/>
    </row>
    <row r="292" spans="8:8" ht="15.75" customHeight="1" x14ac:dyDescent="0.3">
      <c r="H292" s="71"/>
    </row>
    <row r="293" spans="8:8" ht="15.75" customHeight="1" x14ac:dyDescent="0.3">
      <c r="H293" s="71"/>
    </row>
    <row r="294" spans="8:8" ht="15.75" customHeight="1" x14ac:dyDescent="0.3">
      <c r="H294" s="71"/>
    </row>
    <row r="295" spans="8:8" ht="15.75" customHeight="1" x14ac:dyDescent="0.3">
      <c r="H295" s="71"/>
    </row>
    <row r="296" spans="8:8" ht="15.75" customHeight="1" x14ac:dyDescent="0.3">
      <c r="H296" s="71"/>
    </row>
    <row r="297" spans="8:8" ht="15.75" customHeight="1" x14ac:dyDescent="0.3">
      <c r="H297" s="71"/>
    </row>
    <row r="298" spans="8:8" ht="15.75" customHeight="1" x14ac:dyDescent="0.3">
      <c r="H298" s="71"/>
    </row>
    <row r="299" spans="8:8" ht="15.75" customHeight="1" x14ac:dyDescent="0.3">
      <c r="H299" s="71"/>
    </row>
    <row r="300" spans="8:8" ht="15.75" customHeight="1" x14ac:dyDescent="0.3">
      <c r="H300" s="71"/>
    </row>
    <row r="301" spans="8:8" ht="15.75" customHeight="1" x14ac:dyDescent="0.3">
      <c r="H301" s="71"/>
    </row>
    <row r="302" spans="8:8" ht="15.75" customHeight="1" x14ac:dyDescent="0.3">
      <c r="H302" s="71"/>
    </row>
    <row r="303" spans="8:8" ht="15.75" customHeight="1" x14ac:dyDescent="0.3">
      <c r="H303" s="71"/>
    </row>
    <row r="304" spans="8:8" ht="15.75" customHeight="1" x14ac:dyDescent="0.3">
      <c r="H304" s="71"/>
    </row>
    <row r="305" spans="8:8" ht="15.75" customHeight="1" x14ac:dyDescent="0.3">
      <c r="H305" s="71"/>
    </row>
    <row r="306" spans="8:8" ht="15.75" customHeight="1" x14ac:dyDescent="0.3">
      <c r="H306" s="71"/>
    </row>
    <row r="307" spans="8:8" ht="15.75" customHeight="1" x14ac:dyDescent="0.3">
      <c r="H307" s="71"/>
    </row>
    <row r="308" spans="8:8" ht="15.75" customHeight="1" x14ac:dyDescent="0.3">
      <c r="H308" s="71"/>
    </row>
    <row r="309" spans="8:8" ht="15.75" customHeight="1" x14ac:dyDescent="0.3">
      <c r="H309" s="71"/>
    </row>
    <row r="310" spans="8:8" ht="15.75" customHeight="1" x14ac:dyDescent="0.3">
      <c r="H310" s="71"/>
    </row>
    <row r="311" spans="8:8" ht="15.75" customHeight="1" x14ac:dyDescent="0.3">
      <c r="H311" s="71"/>
    </row>
    <row r="312" spans="8:8" ht="15.75" customHeight="1" x14ac:dyDescent="0.3">
      <c r="H312" s="71"/>
    </row>
    <row r="313" spans="8:8" ht="15.75" customHeight="1" x14ac:dyDescent="0.3">
      <c r="H313" s="71"/>
    </row>
    <row r="314" spans="8:8" ht="15.75" customHeight="1" x14ac:dyDescent="0.3">
      <c r="H314" s="71"/>
    </row>
    <row r="315" spans="8:8" ht="15.75" customHeight="1" x14ac:dyDescent="0.3">
      <c r="H315" s="71"/>
    </row>
    <row r="316" spans="8:8" ht="15.75" customHeight="1" x14ac:dyDescent="0.3">
      <c r="H316" s="71"/>
    </row>
    <row r="317" spans="8:8" ht="15.75" customHeight="1" x14ac:dyDescent="0.3">
      <c r="H317" s="71"/>
    </row>
    <row r="318" spans="8:8" ht="15.75" customHeight="1" x14ac:dyDescent="0.3">
      <c r="H318" s="71"/>
    </row>
    <row r="319" spans="8:8" ht="15.75" customHeight="1" x14ac:dyDescent="0.3">
      <c r="H319" s="71"/>
    </row>
    <row r="320" spans="8:8" ht="15.75" customHeight="1" x14ac:dyDescent="0.3">
      <c r="H320" s="71"/>
    </row>
    <row r="321" spans="8:8" ht="15.75" customHeight="1" x14ac:dyDescent="0.3">
      <c r="H321" s="71"/>
    </row>
    <row r="322" spans="8:8" ht="15.75" customHeight="1" x14ac:dyDescent="0.3">
      <c r="H322" s="71"/>
    </row>
    <row r="323" spans="8:8" ht="15.75" customHeight="1" x14ac:dyDescent="0.3">
      <c r="H323" s="71"/>
    </row>
    <row r="324" spans="8:8" ht="15.75" customHeight="1" x14ac:dyDescent="0.3">
      <c r="H324" s="71"/>
    </row>
    <row r="325" spans="8:8" ht="15.75" customHeight="1" x14ac:dyDescent="0.3">
      <c r="H325" s="71"/>
    </row>
    <row r="326" spans="8:8" ht="15.75" customHeight="1" x14ac:dyDescent="0.3">
      <c r="H326" s="71"/>
    </row>
    <row r="327" spans="8:8" ht="15.75" customHeight="1" x14ac:dyDescent="0.3">
      <c r="H327" s="71"/>
    </row>
    <row r="328" spans="8:8" ht="15.75" customHeight="1" x14ac:dyDescent="0.3">
      <c r="H328" s="71"/>
    </row>
    <row r="329" spans="8:8" ht="15.75" customHeight="1" x14ac:dyDescent="0.3">
      <c r="H329" s="71"/>
    </row>
    <row r="330" spans="8:8" ht="15.75" customHeight="1" x14ac:dyDescent="0.3">
      <c r="H330" s="71"/>
    </row>
    <row r="331" spans="8:8" ht="15.75" customHeight="1" x14ac:dyDescent="0.3">
      <c r="H331" s="71"/>
    </row>
    <row r="332" spans="8:8" ht="15.75" customHeight="1" x14ac:dyDescent="0.3">
      <c r="H332" s="71"/>
    </row>
    <row r="333" spans="8:8" ht="15.75" customHeight="1" x14ac:dyDescent="0.3">
      <c r="H333" s="71"/>
    </row>
    <row r="334" spans="8:8" ht="15.75" customHeight="1" x14ac:dyDescent="0.3">
      <c r="H334" s="71"/>
    </row>
    <row r="335" spans="8:8" ht="15.75" customHeight="1" x14ac:dyDescent="0.3">
      <c r="H335" s="71"/>
    </row>
    <row r="336" spans="8:8" ht="15.75" customHeight="1" x14ac:dyDescent="0.3">
      <c r="H336" s="71"/>
    </row>
    <row r="337" spans="8:8" ht="15.75" customHeight="1" x14ac:dyDescent="0.3">
      <c r="H337" s="71"/>
    </row>
    <row r="338" spans="8:8" ht="15.75" customHeight="1" x14ac:dyDescent="0.3">
      <c r="H338" s="71"/>
    </row>
    <row r="339" spans="8:8" ht="15.75" customHeight="1" x14ac:dyDescent="0.3">
      <c r="H339" s="71"/>
    </row>
    <row r="340" spans="8:8" ht="15.75" customHeight="1" x14ac:dyDescent="0.3">
      <c r="H340" s="71"/>
    </row>
    <row r="341" spans="8:8" ht="15.75" customHeight="1" x14ac:dyDescent="0.3">
      <c r="H341" s="71"/>
    </row>
    <row r="342" spans="8:8" ht="15.75" customHeight="1" x14ac:dyDescent="0.3">
      <c r="H342" s="71"/>
    </row>
    <row r="343" spans="8:8" ht="15.75" customHeight="1" x14ac:dyDescent="0.3">
      <c r="H343" s="71"/>
    </row>
    <row r="344" spans="8:8" ht="15.75" customHeight="1" x14ac:dyDescent="0.3">
      <c r="H344" s="71"/>
    </row>
    <row r="345" spans="8:8" ht="15.75" customHeight="1" x14ac:dyDescent="0.3">
      <c r="H345" s="71"/>
    </row>
    <row r="346" spans="8:8" ht="15.75" customHeight="1" x14ac:dyDescent="0.3">
      <c r="H346" s="71"/>
    </row>
    <row r="347" spans="8:8" ht="15.75" customHeight="1" x14ac:dyDescent="0.3">
      <c r="H347" s="71"/>
    </row>
    <row r="348" spans="8:8" ht="15.75" customHeight="1" x14ac:dyDescent="0.3">
      <c r="H348" s="71"/>
    </row>
    <row r="349" spans="8:8" ht="15.75" customHeight="1" x14ac:dyDescent="0.3">
      <c r="H349" s="71"/>
    </row>
    <row r="350" spans="8:8" ht="15.75" customHeight="1" x14ac:dyDescent="0.3">
      <c r="H350" s="71"/>
    </row>
    <row r="351" spans="8:8" ht="15.75" customHeight="1" x14ac:dyDescent="0.3">
      <c r="H351" s="71"/>
    </row>
    <row r="352" spans="8:8" ht="15.75" customHeight="1" x14ac:dyDescent="0.3">
      <c r="H352" s="71"/>
    </row>
    <row r="353" spans="8:8" ht="15.75" customHeight="1" x14ac:dyDescent="0.3">
      <c r="H353" s="71"/>
    </row>
    <row r="354" spans="8:8" ht="15.75" customHeight="1" x14ac:dyDescent="0.3">
      <c r="H354" s="71"/>
    </row>
    <row r="355" spans="8:8" ht="15.75" customHeight="1" x14ac:dyDescent="0.3">
      <c r="H355" s="71"/>
    </row>
    <row r="356" spans="8:8" ht="15.75" customHeight="1" x14ac:dyDescent="0.3">
      <c r="H356" s="71"/>
    </row>
    <row r="357" spans="8:8" ht="15.75" customHeight="1" x14ac:dyDescent="0.3">
      <c r="H357" s="71"/>
    </row>
    <row r="358" spans="8:8" ht="15.75" customHeight="1" x14ac:dyDescent="0.3">
      <c r="H358" s="71"/>
    </row>
    <row r="359" spans="8:8" ht="15.75" customHeight="1" x14ac:dyDescent="0.3">
      <c r="H359" s="71"/>
    </row>
    <row r="360" spans="8:8" ht="15.75" customHeight="1" x14ac:dyDescent="0.3">
      <c r="H360" s="71"/>
    </row>
    <row r="361" spans="8:8" ht="15.75" customHeight="1" x14ac:dyDescent="0.3">
      <c r="H361" s="71"/>
    </row>
    <row r="362" spans="8:8" ht="15.75" customHeight="1" x14ac:dyDescent="0.3">
      <c r="H362" s="71"/>
    </row>
    <row r="363" spans="8:8" ht="15.75" customHeight="1" x14ac:dyDescent="0.3">
      <c r="H363" s="71"/>
    </row>
    <row r="364" spans="8:8" ht="15.75" customHeight="1" x14ac:dyDescent="0.3">
      <c r="H364" s="71"/>
    </row>
    <row r="365" spans="8:8" ht="15.75" customHeight="1" x14ac:dyDescent="0.3">
      <c r="H365" s="71"/>
    </row>
    <row r="366" spans="8:8" ht="15.75" customHeight="1" x14ac:dyDescent="0.3">
      <c r="H366" s="71"/>
    </row>
    <row r="367" spans="8:8" ht="15.75" customHeight="1" x14ac:dyDescent="0.3">
      <c r="H367" s="71"/>
    </row>
    <row r="368" spans="8:8" ht="15.75" customHeight="1" x14ac:dyDescent="0.3">
      <c r="H368" s="71"/>
    </row>
    <row r="369" spans="8:8" ht="15.75" customHeight="1" x14ac:dyDescent="0.3">
      <c r="H369" s="71"/>
    </row>
    <row r="370" spans="8:8" ht="15.75" customHeight="1" x14ac:dyDescent="0.3">
      <c r="H370" s="71"/>
    </row>
    <row r="371" spans="8:8" ht="15.75" customHeight="1" x14ac:dyDescent="0.3">
      <c r="H371" s="71"/>
    </row>
    <row r="372" spans="8:8" ht="15.75" customHeight="1" x14ac:dyDescent="0.3">
      <c r="H372" s="71"/>
    </row>
    <row r="373" spans="8:8" ht="15.75" customHeight="1" x14ac:dyDescent="0.3">
      <c r="H373" s="71"/>
    </row>
    <row r="374" spans="8:8" ht="15.75" customHeight="1" x14ac:dyDescent="0.3">
      <c r="H374" s="71"/>
    </row>
    <row r="375" spans="8:8" ht="15.75" customHeight="1" x14ac:dyDescent="0.3">
      <c r="H375" s="71"/>
    </row>
    <row r="376" spans="8:8" ht="15.75" customHeight="1" x14ac:dyDescent="0.3">
      <c r="H376" s="71"/>
    </row>
    <row r="377" spans="8:8" ht="15.75" customHeight="1" x14ac:dyDescent="0.3">
      <c r="H377" s="71"/>
    </row>
    <row r="378" spans="8:8" ht="15.75" customHeight="1" x14ac:dyDescent="0.3">
      <c r="H378" s="71"/>
    </row>
    <row r="379" spans="8:8" ht="15.75" customHeight="1" x14ac:dyDescent="0.3">
      <c r="H379" s="71"/>
    </row>
    <row r="380" spans="8:8" ht="15.75" customHeight="1" x14ac:dyDescent="0.3">
      <c r="H380" s="71"/>
    </row>
    <row r="381" spans="8:8" ht="15.75" customHeight="1" x14ac:dyDescent="0.3">
      <c r="H381" s="71"/>
    </row>
    <row r="382" spans="8:8" ht="15.75" customHeight="1" x14ac:dyDescent="0.3">
      <c r="H382" s="71"/>
    </row>
    <row r="383" spans="8:8" ht="15.75" customHeight="1" x14ac:dyDescent="0.3">
      <c r="H383" s="71"/>
    </row>
    <row r="384" spans="8:8" ht="15.75" customHeight="1" x14ac:dyDescent="0.3">
      <c r="H384" s="71"/>
    </row>
    <row r="385" spans="8:8" ht="15.75" customHeight="1" x14ac:dyDescent="0.3">
      <c r="H385" s="71"/>
    </row>
    <row r="386" spans="8:8" ht="15.75" customHeight="1" x14ac:dyDescent="0.3">
      <c r="H386" s="71"/>
    </row>
    <row r="387" spans="8:8" ht="15.75" customHeight="1" x14ac:dyDescent="0.3">
      <c r="H387" s="71"/>
    </row>
    <row r="388" spans="8:8" ht="15.75" customHeight="1" x14ac:dyDescent="0.3">
      <c r="H388" s="71"/>
    </row>
    <row r="389" spans="8:8" ht="15.75" customHeight="1" x14ac:dyDescent="0.3">
      <c r="H389" s="71"/>
    </row>
    <row r="390" spans="8:8" ht="15.75" customHeight="1" x14ac:dyDescent="0.3">
      <c r="H390" s="71"/>
    </row>
    <row r="391" spans="8:8" ht="15.75" customHeight="1" x14ac:dyDescent="0.3">
      <c r="H391" s="71"/>
    </row>
    <row r="392" spans="8:8" ht="15.75" customHeight="1" x14ac:dyDescent="0.3">
      <c r="H392" s="71"/>
    </row>
    <row r="393" spans="8:8" ht="15.75" customHeight="1" x14ac:dyDescent="0.3">
      <c r="H393" s="71"/>
    </row>
    <row r="394" spans="8:8" ht="15.75" customHeight="1" x14ac:dyDescent="0.3">
      <c r="H394" s="71"/>
    </row>
    <row r="395" spans="8:8" ht="15.75" customHeight="1" x14ac:dyDescent="0.3">
      <c r="H395" s="71"/>
    </row>
    <row r="396" spans="8:8" ht="15.75" customHeight="1" x14ac:dyDescent="0.3">
      <c r="H396" s="71"/>
    </row>
    <row r="397" spans="8:8" ht="15.75" customHeight="1" x14ac:dyDescent="0.3">
      <c r="H397" s="71"/>
    </row>
    <row r="398" spans="8:8" ht="15.75" customHeight="1" x14ac:dyDescent="0.3">
      <c r="H398" s="71"/>
    </row>
    <row r="399" spans="8:8" ht="15.75" customHeight="1" x14ac:dyDescent="0.3">
      <c r="H399" s="71"/>
    </row>
    <row r="400" spans="8:8" ht="15.75" customHeight="1" x14ac:dyDescent="0.3">
      <c r="H400" s="71"/>
    </row>
    <row r="401" spans="8:8" ht="15.75" customHeight="1" x14ac:dyDescent="0.3">
      <c r="H401" s="71"/>
    </row>
    <row r="402" spans="8:8" ht="15.75" customHeight="1" x14ac:dyDescent="0.3">
      <c r="H402" s="71"/>
    </row>
    <row r="403" spans="8:8" ht="15.75" customHeight="1" x14ac:dyDescent="0.3">
      <c r="H403" s="71"/>
    </row>
    <row r="404" spans="8:8" ht="15.75" customHeight="1" x14ac:dyDescent="0.3">
      <c r="H404" s="71"/>
    </row>
    <row r="405" spans="8:8" ht="15.75" customHeight="1" x14ac:dyDescent="0.3">
      <c r="H405" s="71"/>
    </row>
    <row r="406" spans="8:8" ht="15.75" customHeight="1" x14ac:dyDescent="0.3">
      <c r="H406" s="71"/>
    </row>
    <row r="407" spans="8:8" ht="15.75" customHeight="1" x14ac:dyDescent="0.3">
      <c r="H407" s="71"/>
    </row>
    <row r="408" spans="8:8" ht="15.75" customHeight="1" x14ac:dyDescent="0.3">
      <c r="H408" s="71"/>
    </row>
    <row r="409" spans="8:8" ht="15.75" customHeight="1" x14ac:dyDescent="0.3">
      <c r="H409" s="71"/>
    </row>
    <row r="410" spans="8:8" ht="15.75" customHeight="1" x14ac:dyDescent="0.3">
      <c r="H410" s="71"/>
    </row>
    <row r="411" spans="8:8" ht="15.75" customHeight="1" x14ac:dyDescent="0.3">
      <c r="H411" s="71"/>
    </row>
    <row r="412" spans="8:8" ht="15.75" customHeight="1" x14ac:dyDescent="0.3">
      <c r="H412" s="71"/>
    </row>
    <row r="413" spans="8:8" ht="15.75" customHeight="1" x14ac:dyDescent="0.3">
      <c r="H413" s="71"/>
    </row>
    <row r="414" spans="8:8" ht="15.75" customHeight="1" x14ac:dyDescent="0.3">
      <c r="H414" s="71"/>
    </row>
    <row r="415" spans="8:8" ht="15.75" customHeight="1" x14ac:dyDescent="0.3">
      <c r="H415" s="71"/>
    </row>
    <row r="416" spans="8:8" ht="15.75" customHeight="1" x14ac:dyDescent="0.3">
      <c r="H416" s="71"/>
    </row>
    <row r="417" spans="8:8" ht="15.75" customHeight="1" x14ac:dyDescent="0.3">
      <c r="H417" s="71"/>
    </row>
    <row r="418" spans="8:8" ht="15.75" customHeight="1" x14ac:dyDescent="0.3">
      <c r="H418" s="71"/>
    </row>
    <row r="419" spans="8:8" ht="15.75" customHeight="1" x14ac:dyDescent="0.3">
      <c r="H419" s="71"/>
    </row>
    <row r="420" spans="8:8" ht="15.75" customHeight="1" x14ac:dyDescent="0.3">
      <c r="H420" s="71"/>
    </row>
    <row r="421" spans="8:8" ht="15.75" customHeight="1" x14ac:dyDescent="0.3">
      <c r="H421" s="71"/>
    </row>
    <row r="422" spans="8:8" ht="15.75" customHeight="1" x14ac:dyDescent="0.3">
      <c r="H422" s="71"/>
    </row>
    <row r="423" spans="8:8" ht="15.75" customHeight="1" x14ac:dyDescent="0.3">
      <c r="H423" s="71"/>
    </row>
    <row r="424" spans="8:8" ht="15.75" customHeight="1" x14ac:dyDescent="0.3">
      <c r="H424" s="71"/>
    </row>
    <row r="425" spans="8:8" ht="15.75" customHeight="1" x14ac:dyDescent="0.3">
      <c r="H425" s="71"/>
    </row>
    <row r="426" spans="8:8" ht="15.75" customHeight="1" x14ac:dyDescent="0.3">
      <c r="H426" s="71"/>
    </row>
    <row r="427" spans="8:8" ht="15.75" customHeight="1" x14ac:dyDescent="0.3">
      <c r="H427" s="71"/>
    </row>
    <row r="428" spans="8:8" ht="15.75" customHeight="1" x14ac:dyDescent="0.3">
      <c r="H428" s="71"/>
    </row>
    <row r="429" spans="8:8" ht="15.75" customHeight="1" x14ac:dyDescent="0.3">
      <c r="H429" s="71"/>
    </row>
    <row r="430" spans="8:8" ht="15.75" customHeight="1" x14ac:dyDescent="0.3">
      <c r="H430" s="71"/>
    </row>
    <row r="431" spans="8:8" ht="15.75" customHeight="1" x14ac:dyDescent="0.3">
      <c r="H431" s="71"/>
    </row>
    <row r="432" spans="8:8" ht="15.75" customHeight="1" x14ac:dyDescent="0.3">
      <c r="H432" s="71"/>
    </row>
    <row r="433" spans="8:8" ht="15.75" customHeight="1" x14ac:dyDescent="0.3">
      <c r="H433" s="71"/>
    </row>
    <row r="434" spans="8:8" ht="15.75" customHeight="1" x14ac:dyDescent="0.3">
      <c r="H434" s="71"/>
    </row>
    <row r="435" spans="8:8" ht="15.75" customHeight="1" x14ac:dyDescent="0.3">
      <c r="H435" s="71"/>
    </row>
    <row r="436" spans="8:8" ht="15.75" customHeight="1" x14ac:dyDescent="0.3">
      <c r="H436" s="71"/>
    </row>
    <row r="437" spans="8:8" ht="15.75" customHeight="1" x14ac:dyDescent="0.3">
      <c r="H437" s="71"/>
    </row>
    <row r="438" spans="8:8" ht="15.75" customHeight="1" x14ac:dyDescent="0.3">
      <c r="H438" s="71"/>
    </row>
    <row r="439" spans="8:8" ht="15.75" customHeight="1" x14ac:dyDescent="0.3">
      <c r="H439" s="71"/>
    </row>
    <row r="440" spans="8:8" ht="15.75" customHeight="1" x14ac:dyDescent="0.3">
      <c r="H440" s="71"/>
    </row>
    <row r="441" spans="8:8" ht="15.75" customHeight="1" x14ac:dyDescent="0.3">
      <c r="H441" s="71"/>
    </row>
    <row r="442" spans="8:8" ht="15.75" customHeight="1" x14ac:dyDescent="0.3">
      <c r="H442" s="71"/>
    </row>
    <row r="443" spans="8:8" ht="15.75" customHeight="1" x14ac:dyDescent="0.3">
      <c r="H443" s="71"/>
    </row>
    <row r="444" spans="8:8" ht="15.75" customHeight="1" x14ac:dyDescent="0.3">
      <c r="H444" s="71"/>
    </row>
    <row r="445" spans="8:8" ht="15.75" customHeight="1" x14ac:dyDescent="0.3">
      <c r="H445" s="71"/>
    </row>
    <row r="446" spans="8:8" ht="15.75" customHeight="1" x14ac:dyDescent="0.3">
      <c r="H446" s="71"/>
    </row>
    <row r="447" spans="8:8" ht="15.75" customHeight="1" x14ac:dyDescent="0.3">
      <c r="H447" s="71"/>
    </row>
    <row r="448" spans="8:8" ht="15.75" customHeight="1" x14ac:dyDescent="0.3">
      <c r="H448" s="71"/>
    </row>
    <row r="449" spans="8:8" ht="15.75" customHeight="1" x14ac:dyDescent="0.3">
      <c r="H449" s="71"/>
    </row>
    <row r="450" spans="8:8" ht="15.75" customHeight="1" x14ac:dyDescent="0.3">
      <c r="H450" s="71"/>
    </row>
    <row r="451" spans="8:8" ht="15.75" customHeight="1" x14ac:dyDescent="0.3">
      <c r="H451" s="71"/>
    </row>
    <row r="452" spans="8:8" ht="15.75" customHeight="1" x14ac:dyDescent="0.3">
      <c r="H452" s="71"/>
    </row>
    <row r="453" spans="8:8" ht="15.75" customHeight="1" x14ac:dyDescent="0.3">
      <c r="H453" s="71"/>
    </row>
    <row r="454" spans="8:8" ht="15.75" customHeight="1" x14ac:dyDescent="0.3">
      <c r="H454" s="71"/>
    </row>
    <row r="455" spans="8:8" ht="15.75" customHeight="1" x14ac:dyDescent="0.3">
      <c r="H455" s="71"/>
    </row>
    <row r="456" spans="8:8" ht="15.75" customHeight="1" x14ac:dyDescent="0.3">
      <c r="H456" s="71"/>
    </row>
    <row r="457" spans="8:8" ht="15.75" customHeight="1" x14ac:dyDescent="0.3">
      <c r="H457" s="71"/>
    </row>
    <row r="458" spans="8:8" ht="15.75" customHeight="1" x14ac:dyDescent="0.3">
      <c r="H458" s="71"/>
    </row>
    <row r="459" spans="8:8" ht="15.75" customHeight="1" x14ac:dyDescent="0.3">
      <c r="H459" s="71"/>
    </row>
    <row r="460" spans="8:8" ht="15.75" customHeight="1" x14ac:dyDescent="0.3">
      <c r="H460" s="71"/>
    </row>
    <row r="461" spans="8:8" ht="15.75" customHeight="1" x14ac:dyDescent="0.3">
      <c r="H461" s="71"/>
    </row>
    <row r="462" spans="8:8" ht="15.75" customHeight="1" x14ac:dyDescent="0.3">
      <c r="H462" s="71"/>
    </row>
    <row r="463" spans="8:8" ht="15.75" customHeight="1" x14ac:dyDescent="0.3">
      <c r="H463" s="71"/>
    </row>
    <row r="464" spans="8:8" ht="15.75" customHeight="1" x14ac:dyDescent="0.3">
      <c r="H464" s="71"/>
    </row>
    <row r="465" spans="8:8" ht="15.75" customHeight="1" x14ac:dyDescent="0.3">
      <c r="H465" s="71"/>
    </row>
    <row r="466" spans="8:8" ht="15.75" customHeight="1" x14ac:dyDescent="0.3">
      <c r="H466" s="71"/>
    </row>
    <row r="467" spans="8:8" ht="15.75" customHeight="1" x14ac:dyDescent="0.3">
      <c r="H467" s="71"/>
    </row>
    <row r="468" spans="8:8" ht="15.75" customHeight="1" x14ac:dyDescent="0.3">
      <c r="H468" s="71"/>
    </row>
    <row r="469" spans="8:8" ht="15.75" customHeight="1" x14ac:dyDescent="0.3">
      <c r="H469" s="71"/>
    </row>
    <row r="470" spans="8:8" ht="15.75" customHeight="1" x14ac:dyDescent="0.3">
      <c r="H470" s="71"/>
    </row>
    <row r="471" spans="8:8" ht="15.75" customHeight="1" x14ac:dyDescent="0.3">
      <c r="H471" s="71"/>
    </row>
    <row r="472" spans="8:8" ht="15.75" customHeight="1" x14ac:dyDescent="0.3">
      <c r="H472" s="71"/>
    </row>
    <row r="473" spans="8:8" ht="15.75" customHeight="1" x14ac:dyDescent="0.3">
      <c r="H473" s="71"/>
    </row>
    <row r="474" spans="8:8" ht="15.75" customHeight="1" x14ac:dyDescent="0.3">
      <c r="H474" s="71"/>
    </row>
    <row r="475" spans="8:8" ht="15.75" customHeight="1" x14ac:dyDescent="0.3">
      <c r="H475" s="71"/>
    </row>
    <row r="476" spans="8:8" ht="15.75" customHeight="1" x14ac:dyDescent="0.3">
      <c r="H476" s="71"/>
    </row>
    <row r="477" spans="8:8" ht="15.75" customHeight="1" x14ac:dyDescent="0.3">
      <c r="H477" s="71"/>
    </row>
    <row r="478" spans="8:8" ht="15.75" customHeight="1" x14ac:dyDescent="0.3">
      <c r="H478" s="71"/>
    </row>
    <row r="479" spans="8:8" ht="15.75" customHeight="1" x14ac:dyDescent="0.3">
      <c r="H479" s="71"/>
    </row>
    <row r="480" spans="8:8" ht="15.75" customHeight="1" x14ac:dyDescent="0.3">
      <c r="H480" s="71"/>
    </row>
    <row r="481" spans="8:8" ht="15.75" customHeight="1" x14ac:dyDescent="0.3">
      <c r="H481" s="71"/>
    </row>
    <row r="482" spans="8:8" ht="15.75" customHeight="1" x14ac:dyDescent="0.3">
      <c r="H482" s="71"/>
    </row>
    <row r="483" spans="8:8" ht="15.75" customHeight="1" x14ac:dyDescent="0.3">
      <c r="H483" s="71"/>
    </row>
    <row r="484" spans="8:8" ht="15.75" customHeight="1" x14ac:dyDescent="0.3">
      <c r="H484" s="71"/>
    </row>
    <row r="485" spans="8:8" ht="15.75" customHeight="1" x14ac:dyDescent="0.3">
      <c r="H485" s="71"/>
    </row>
    <row r="486" spans="8:8" ht="15.75" customHeight="1" x14ac:dyDescent="0.3">
      <c r="H486" s="71"/>
    </row>
    <row r="487" spans="8:8" ht="15.75" customHeight="1" x14ac:dyDescent="0.3">
      <c r="H487" s="71"/>
    </row>
    <row r="488" spans="8:8" ht="15.75" customHeight="1" x14ac:dyDescent="0.3">
      <c r="H488" s="71"/>
    </row>
    <row r="489" spans="8:8" ht="15.75" customHeight="1" x14ac:dyDescent="0.3">
      <c r="H489" s="71"/>
    </row>
    <row r="490" spans="8:8" ht="15.75" customHeight="1" x14ac:dyDescent="0.3">
      <c r="H490" s="71"/>
    </row>
    <row r="491" spans="8:8" ht="15.75" customHeight="1" x14ac:dyDescent="0.3">
      <c r="H491" s="71"/>
    </row>
    <row r="492" spans="8:8" ht="15.75" customHeight="1" x14ac:dyDescent="0.3">
      <c r="H492" s="71"/>
    </row>
    <row r="493" spans="8:8" ht="15.75" customHeight="1" x14ac:dyDescent="0.3">
      <c r="H493" s="71"/>
    </row>
    <row r="494" spans="8:8" ht="15.75" customHeight="1" x14ac:dyDescent="0.3">
      <c r="H494" s="71"/>
    </row>
    <row r="495" spans="8:8" ht="15.75" customHeight="1" x14ac:dyDescent="0.3">
      <c r="H495" s="71"/>
    </row>
    <row r="496" spans="8:8" ht="15.75" customHeight="1" x14ac:dyDescent="0.3">
      <c r="H496" s="71"/>
    </row>
    <row r="497" spans="8:8" ht="15.75" customHeight="1" x14ac:dyDescent="0.3">
      <c r="H497" s="71"/>
    </row>
    <row r="498" spans="8:8" ht="15.75" customHeight="1" x14ac:dyDescent="0.3">
      <c r="H498" s="71"/>
    </row>
    <row r="499" spans="8:8" ht="15.75" customHeight="1" x14ac:dyDescent="0.3">
      <c r="H499" s="71"/>
    </row>
    <row r="500" spans="8:8" ht="15.75" customHeight="1" x14ac:dyDescent="0.3">
      <c r="H500" s="71"/>
    </row>
    <row r="501" spans="8:8" ht="15.75" customHeight="1" x14ac:dyDescent="0.3">
      <c r="H501" s="71"/>
    </row>
    <row r="502" spans="8:8" ht="15.75" customHeight="1" x14ac:dyDescent="0.3">
      <c r="H502" s="71"/>
    </row>
    <row r="503" spans="8:8" ht="15.75" customHeight="1" x14ac:dyDescent="0.3">
      <c r="H503" s="71"/>
    </row>
    <row r="504" spans="8:8" ht="15.75" customHeight="1" x14ac:dyDescent="0.3">
      <c r="H504" s="71"/>
    </row>
    <row r="505" spans="8:8" ht="15.75" customHeight="1" x14ac:dyDescent="0.3">
      <c r="H505" s="71"/>
    </row>
    <row r="506" spans="8:8" ht="15.75" customHeight="1" x14ac:dyDescent="0.3">
      <c r="H506" s="71"/>
    </row>
    <row r="507" spans="8:8" ht="15.75" customHeight="1" x14ac:dyDescent="0.3">
      <c r="H507" s="71"/>
    </row>
    <row r="508" spans="8:8" ht="15.75" customHeight="1" x14ac:dyDescent="0.3">
      <c r="H508" s="71"/>
    </row>
    <row r="509" spans="8:8" ht="15.75" customHeight="1" x14ac:dyDescent="0.3">
      <c r="H509" s="71"/>
    </row>
    <row r="510" spans="8:8" ht="15.75" customHeight="1" x14ac:dyDescent="0.3">
      <c r="H510" s="71"/>
    </row>
    <row r="511" spans="8:8" ht="15.75" customHeight="1" x14ac:dyDescent="0.3">
      <c r="H511" s="71"/>
    </row>
    <row r="512" spans="8:8" ht="15.75" customHeight="1" x14ac:dyDescent="0.3">
      <c r="H512" s="71"/>
    </row>
    <row r="513" spans="8:8" ht="15.75" customHeight="1" x14ac:dyDescent="0.3">
      <c r="H513" s="71"/>
    </row>
    <row r="514" spans="8:8" ht="15.75" customHeight="1" x14ac:dyDescent="0.3">
      <c r="H514" s="71"/>
    </row>
    <row r="515" spans="8:8" ht="15.75" customHeight="1" x14ac:dyDescent="0.3">
      <c r="H515" s="71"/>
    </row>
    <row r="516" spans="8:8" ht="15.75" customHeight="1" x14ac:dyDescent="0.3">
      <c r="H516" s="71"/>
    </row>
    <row r="517" spans="8:8" ht="15.75" customHeight="1" x14ac:dyDescent="0.3">
      <c r="H517" s="71"/>
    </row>
    <row r="518" spans="8:8" ht="15.75" customHeight="1" x14ac:dyDescent="0.3">
      <c r="H518" s="71"/>
    </row>
    <row r="519" spans="8:8" ht="15.75" customHeight="1" x14ac:dyDescent="0.3">
      <c r="H519" s="71"/>
    </row>
    <row r="520" spans="8:8" ht="15.75" customHeight="1" x14ac:dyDescent="0.3">
      <c r="H520" s="71"/>
    </row>
    <row r="521" spans="8:8" ht="15.75" customHeight="1" x14ac:dyDescent="0.3">
      <c r="H521" s="71"/>
    </row>
    <row r="522" spans="8:8" ht="15.75" customHeight="1" x14ac:dyDescent="0.3">
      <c r="H522" s="71"/>
    </row>
    <row r="523" spans="8:8" ht="15.75" customHeight="1" x14ac:dyDescent="0.3">
      <c r="H523" s="71"/>
    </row>
    <row r="524" spans="8:8" ht="15.75" customHeight="1" x14ac:dyDescent="0.3">
      <c r="H524" s="71"/>
    </row>
    <row r="525" spans="8:8" ht="15.75" customHeight="1" x14ac:dyDescent="0.3">
      <c r="H525" s="71"/>
    </row>
    <row r="526" spans="8:8" ht="15.75" customHeight="1" x14ac:dyDescent="0.3">
      <c r="H526" s="71"/>
    </row>
    <row r="527" spans="8:8" ht="15.75" customHeight="1" x14ac:dyDescent="0.3">
      <c r="H527" s="71"/>
    </row>
    <row r="528" spans="8:8" ht="15.75" customHeight="1" x14ac:dyDescent="0.3">
      <c r="H528" s="71"/>
    </row>
    <row r="529" spans="8:8" ht="15.75" customHeight="1" x14ac:dyDescent="0.3">
      <c r="H529" s="71"/>
    </row>
    <row r="530" spans="8:8" ht="15.75" customHeight="1" x14ac:dyDescent="0.3">
      <c r="H530" s="71"/>
    </row>
    <row r="531" spans="8:8" ht="15.75" customHeight="1" x14ac:dyDescent="0.3">
      <c r="H531" s="71"/>
    </row>
    <row r="532" spans="8:8" ht="15.75" customHeight="1" x14ac:dyDescent="0.3">
      <c r="H532" s="71"/>
    </row>
    <row r="533" spans="8:8" ht="15.75" customHeight="1" x14ac:dyDescent="0.3">
      <c r="H533" s="71"/>
    </row>
    <row r="534" spans="8:8" ht="15.75" customHeight="1" x14ac:dyDescent="0.3">
      <c r="H534" s="71"/>
    </row>
    <row r="535" spans="8:8" ht="15.75" customHeight="1" x14ac:dyDescent="0.3">
      <c r="H535" s="71"/>
    </row>
    <row r="536" spans="8:8" ht="15.75" customHeight="1" x14ac:dyDescent="0.3">
      <c r="H536" s="71"/>
    </row>
    <row r="537" spans="8:8" ht="15.75" customHeight="1" x14ac:dyDescent="0.3">
      <c r="H537" s="71"/>
    </row>
    <row r="538" spans="8:8" ht="15.75" customHeight="1" x14ac:dyDescent="0.3">
      <c r="H538" s="71"/>
    </row>
    <row r="539" spans="8:8" ht="15.75" customHeight="1" x14ac:dyDescent="0.3">
      <c r="H539" s="71"/>
    </row>
    <row r="540" spans="8:8" ht="15.75" customHeight="1" x14ac:dyDescent="0.3">
      <c r="H540" s="71"/>
    </row>
    <row r="541" spans="8:8" ht="15.75" customHeight="1" x14ac:dyDescent="0.3">
      <c r="H541" s="71"/>
    </row>
    <row r="542" spans="8:8" ht="15.75" customHeight="1" x14ac:dyDescent="0.3">
      <c r="H542" s="71"/>
    </row>
    <row r="543" spans="8:8" ht="15.75" customHeight="1" x14ac:dyDescent="0.3">
      <c r="H543" s="71"/>
    </row>
    <row r="544" spans="8:8" ht="15.75" customHeight="1" x14ac:dyDescent="0.3">
      <c r="H544" s="71"/>
    </row>
    <row r="545" spans="8:8" ht="15.75" customHeight="1" x14ac:dyDescent="0.3">
      <c r="H545" s="71"/>
    </row>
    <row r="546" spans="8:8" ht="15.75" customHeight="1" x14ac:dyDescent="0.3">
      <c r="H546" s="71"/>
    </row>
    <row r="547" spans="8:8" ht="15.75" customHeight="1" x14ac:dyDescent="0.3">
      <c r="H547" s="71"/>
    </row>
    <row r="548" spans="8:8" ht="15.75" customHeight="1" x14ac:dyDescent="0.3">
      <c r="H548" s="71"/>
    </row>
    <row r="549" spans="8:8" ht="15.75" customHeight="1" x14ac:dyDescent="0.3">
      <c r="H549" s="71"/>
    </row>
    <row r="550" spans="8:8" ht="15.75" customHeight="1" x14ac:dyDescent="0.3">
      <c r="H550" s="71"/>
    </row>
    <row r="551" spans="8:8" ht="15.75" customHeight="1" x14ac:dyDescent="0.3">
      <c r="H551" s="71"/>
    </row>
    <row r="552" spans="8:8" ht="15.75" customHeight="1" x14ac:dyDescent="0.3">
      <c r="H552" s="71"/>
    </row>
    <row r="553" spans="8:8" ht="15.75" customHeight="1" x14ac:dyDescent="0.3">
      <c r="H553" s="71"/>
    </row>
    <row r="554" spans="8:8" ht="15.75" customHeight="1" x14ac:dyDescent="0.3">
      <c r="H554" s="71"/>
    </row>
    <row r="555" spans="8:8" ht="15.75" customHeight="1" x14ac:dyDescent="0.3">
      <c r="H555" s="71"/>
    </row>
    <row r="556" spans="8:8" ht="15.75" customHeight="1" x14ac:dyDescent="0.3">
      <c r="H556" s="71"/>
    </row>
    <row r="557" spans="8:8" ht="15.75" customHeight="1" x14ac:dyDescent="0.3">
      <c r="H557" s="71"/>
    </row>
    <row r="558" spans="8:8" ht="15.75" customHeight="1" x14ac:dyDescent="0.3">
      <c r="H558" s="71"/>
    </row>
    <row r="559" spans="8:8" ht="15.75" customHeight="1" x14ac:dyDescent="0.3">
      <c r="H559" s="71"/>
    </row>
    <row r="560" spans="8:8" ht="15.75" customHeight="1" x14ac:dyDescent="0.3">
      <c r="H560" s="71"/>
    </row>
    <row r="561" spans="8:8" ht="15.75" customHeight="1" x14ac:dyDescent="0.3">
      <c r="H561" s="71"/>
    </row>
    <row r="562" spans="8:8" ht="15.75" customHeight="1" x14ac:dyDescent="0.3">
      <c r="H562" s="71"/>
    </row>
    <row r="563" spans="8:8" ht="15.75" customHeight="1" x14ac:dyDescent="0.3">
      <c r="H563" s="71"/>
    </row>
    <row r="564" spans="8:8" ht="15.75" customHeight="1" x14ac:dyDescent="0.3">
      <c r="H564" s="71"/>
    </row>
    <row r="565" spans="8:8" ht="15.75" customHeight="1" x14ac:dyDescent="0.3">
      <c r="H565" s="71"/>
    </row>
    <row r="566" spans="8:8" ht="15.75" customHeight="1" x14ac:dyDescent="0.3">
      <c r="H566" s="71"/>
    </row>
    <row r="567" spans="8:8" ht="15.75" customHeight="1" x14ac:dyDescent="0.3">
      <c r="H567" s="71"/>
    </row>
    <row r="568" spans="8:8" ht="15.75" customHeight="1" x14ac:dyDescent="0.3">
      <c r="H568" s="71"/>
    </row>
    <row r="569" spans="8:8" ht="15.75" customHeight="1" x14ac:dyDescent="0.3">
      <c r="H569" s="71"/>
    </row>
    <row r="570" spans="8:8" ht="15.75" customHeight="1" x14ac:dyDescent="0.3">
      <c r="H570" s="71"/>
    </row>
    <row r="571" spans="8:8" ht="15.75" customHeight="1" x14ac:dyDescent="0.3">
      <c r="H571" s="71"/>
    </row>
    <row r="572" spans="8:8" ht="15.75" customHeight="1" x14ac:dyDescent="0.3">
      <c r="H572" s="71"/>
    </row>
    <row r="573" spans="8:8" ht="15.75" customHeight="1" x14ac:dyDescent="0.3">
      <c r="H573" s="71"/>
    </row>
    <row r="574" spans="8:8" ht="15.75" customHeight="1" x14ac:dyDescent="0.3">
      <c r="H574" s="71"/>
    </row>
    <row r="575" spans="8:8" ht="15.75" customHeight="1" x14ac:dyDescent="0.3">
      <c r="H575" s="71"/>
    </row>
    <row r="576" spans="8:8" ht="15.75" customHeight="1" x14ac:dyDescent="0.3">
      <c r="H576" s="71"/>
    </row>
    <row r="577" spans="8:8" ht="15.75" customHeight="1" x14ac:dyDescent="0.3">
      <c r="H577" s="71"/>
    </row>
    <row r="578" spans="8:8" ht="15.75" customHeight="1" x14ac:dyDescent="0.3">
      <c r="H578" s="71"/>
    </row>
    <row r="579" spans="8:8" ht="15.75" customHeight="1" x14ac:dyDescent="0.3">
      <c r="H579" s="71"/>
    </row>
    <row r="580" spans="8:8" ht="15.75" customHeight="1" x14ac:dyDescent="0.3">
      <c r="H580" s="71"/>
    </row>
    <row r="581" spans="8:8" ht="15.75" customHeight="1" x14ac:dyDescent="0.3">
      <c r="H581" s="71"/>
    </row>
    <row r="582" spans="8:8" ht="15.75" customHeight="1" x14ac:dyDescent="0.3">
      <c r="H582" s="71"/>
    </row>
    <row r="583" spans="8:8" ht="15.75" customHeight="1" x14ac:dyDescent="0.3">
      <c r="H583" s="71"/>
    </row>
    <row r="584" spans="8:8" ht="15.75" customHeight="1" x14ac:dyDescent="0.3">
      <c r="H584" s="71"/>
    </row>
    <row r="585" spans="8:8" ht="15.75" customHeight="1" x14ac:dyDescent="0.3">
      <c r="H585" s="71"/>
    </row>
    <row r="586" spans="8:8" ht="15.75" customHeight="1" x14ac:dyDescent="0.3">
      <c r="H586" s="71"/>
    </row>
    <row r="587" spans="8:8" ht="15.75" customHeight="1" x14ac:dyDescent="0.3">
      <c r="H587" s="71"/>
    </row>
    <row r="588" spans="8:8" ht="15.75" customHeight="1" x14ac:dyDescent="0.3">
      <c r="H588" s="71"/>
    </row>
    <row r="589" spans="8:8" ht="15.75" customHeight="1" x14ac:dyDescent="0.3">
      <c r="H589" s="71"/>
    </row>
    <row r="590" spans="8:8" ht="15.75" customHeight="1" x14ac:dyDescent="0.3">
      <c r="H590" s="71"/>
    </row>
    <row r="591" spans="8:8" ht="15.75" customHeight="1" x14ac:dyDescent="0.3">
      <c r="H591" s="71"/>
    </row>
    <row r="592" spans="8:8" ht="15.75" customHeight="1" x14ac:dyDescent="0.3">
      <c r="H592" s="71"/>
    </row>
    <row r="593" spans="8:8" ht="15.75" customHeight="1" x14ac:dyDescent="0.3">
      <c r="H593" s="71"/>
    </row>
    <row r="594" spans="8:8" ht="15.75" customHeight="1" x14ac:dyDescent="0.3">
      <c r="H594" s="71"/>
    </row>
    <row r="595" spans="8:8" ht="15.75" customHeight="1" x14ac:dyDescent="0.3">
      <c r="H595" s="71"/>
    </row>
    <row r="596" spans="8:8" ht="15.75" customHeight="1" x14ac:dyDescent="0.3">
      <c r="H596" s="71"/>
    </row>
    <row r="597" spans="8:8" ht="15.75" customHeight="1" x14ac:dyDescent="0.3">
      <c r="H597" s="71"/>
    </row>
    <row r="598" spans="8:8" ht="15.75" customHeight="1" x14ac:dyDescent="0.3">
      <c r="H598" s="71"/>
    </row>
    <row r="599" spans="8:8" ht="15.75" customHeight="1" x14ac:dyDescent="0.3">
      <c r="H599" s="71"/>
    </row>
    <row r="600" spans="8:8" ht="15.75" customHeight="1" x14ac:dyDescent="0.3">
      <c r="H600" s="71"/>
    </row>
    <row r="601" spans="8:8" ht="15.75" customHeight="1" x14ac:dyDescent="0.3">
      <c r="H601" s="71"/>
    </row>
    <row r="602" spans="8:8" ht="15.75" customHeight="1" x14ac:dyDescent="0.3">
      <c r="H602" s="71"/>
    </row>
    <row r="603" spans="8:8" ht="15.75" customHeight="1" x14ac:dyDescent="0.3">
      <c r="H603" s="71"/>
    </row>
    <row r="604" spans="8:8" ht="15.75" customHeight="1" x14ac:dyDescent="0.3">
      <c r="H604" s="71"/>
    </row>
    <row r="605" spans="8:8" ht="15.75" customHeight="1" x14ac:dyDescent="0.3">
      <c r="H605" s="71"/>
    </row>
    <row r="606" spans="8:8" ht="15.75" customHeight="1" x14ac:dyDescent="0.3">
      <c r="H606" s="71"/>
    </row>
    <row r="607" spans="8:8" ht="15.75" customHeight="1" x14ac:dyDescent="0.3">
      <c r="H607" s="71"/>
    </row>
    <row r="608" spans="8:8" ht="15.75" customHeight="1" x14ac:dyDescent="0.3">
      <c r="H608" s="71"/>
    </row>
    <row r="609" spans="8:8" ht="15.75" customHeight="1" x14ac:dyDescent="0.3">
      <c r="H609" s="71"/>
    </row>
    <row r="610" spans="8:8" ht="15.75" customHeight="1" x14ac:dyDescent="0.3">
      <c r="H610" s="71"/>
    </row>
    <row r="611" spans="8:8" ht="15.75" customHeight="1" x14ac:dyDescent="0.3">
      <c r="H611" s="71"/>
    </row>
    <row r="612" spans="8:8" ht="15.75" customHeight="1" x14ac:dyDescent="0.3">
      <c r="H612" s="71"/>
    </row>
    <row r="613" spans="8:8" ht="15.75" customHeight="1" x14ac:dyDescent="0.3">
      <c r="H613" s="71"/>
    </row>
    <row r="614" spans="8:8" ht="15.75" customHeight="1" x14ac:dyDescent="0.3">
      <c r="H614" s="71"/>
    </row>
    <row r="615" spans="8:8" ht="15.75" customHeight="1" x14ac:dyDescent="0.3">
      <c r="H615" s="71"/>
    </row>
    <row r="616" spans="8:8" ht="15.75" customHeight="1" x14ac:dyDescent="0.3">
      <c r="H616" s="71"/>
    </row>
    <row r="617" spans="8:8" ht="15.75" customHeight="1" x14ac:dyDescent="0.3">
      <c r="H617" s="71"/>
    </row>
    <row r="618" spans="8:8" ht="15.75" customHeight="1" x14ac:dyDescent="0.3">
      <c r="H618" s="71"/>
    </row>
    <row r="619" spans="8:8" ht="15.75" customHeight="1" x14ac:dyDescent="0.3">
      <c r="H619" s="71"/>
    </row>
    <row r="620" spans="8:8" ht="15.75" customHeight="1" x14ac:dyDescent="0.3">
      <c r="H620" s="71"/>
    </row>
    <row r="621" spans="8:8" ht="15.75" customHeight="1" x14ac:dyDescent="0.3">
      <c r="H621" s="71"/>
    </row>
    <row r="622" spans="8:8" ht="15.75" customHeight="1" x14ac:dyDescent="0.3">
      <c r="H622" s="71"/>
    </row>
    <row r="623" spans="8:8" ht="15.75" customHeight="1" x14ac:dyDescent="0.3">
      <c r="H623" s="71"/>
    </row>
    <row r="624" spans="8:8" ht="15.75" customHeight="1" x14ac:dyDescent="0.3">
      <c r="H624" s="71"/>
    </row>
    <row r="625" spans="8:8" ht="15.75" customHeight="1" x14ac:dyDescent="0.3">
      <c r="H625" s="71"/>
    </row>
    <row r="626" spans="8:8" ht="15.75" customHeight="1" x14ac:dyDescent="0.3">
      <c r="H626" s="71"/>
    </row>
    <row r="627" spans="8:8" ht="15.75" customHeight="1" x14ac:dyDescent="0.3">
      <c r="H627" s="71"/>
    </row>
    <row r="628" spans="8:8" ht="15.75" customHeight="1" x14ac:dyDescent="0.3">
      <c r="H628" s="71"/>
    </row>
    <row r="629" spans="8:8" ht="15.75" customHeight="1" x14ac:dyDescent="0.3">
      <c r="H629" s="71"/>
    </row>
    <row r="630" spans="8:8" ht="15.75" customHeight="1" x14ac:dyDescent="0.3">
      <c r="H630" s="71"/>
    </row>
    <row r="631" spans="8:8" ht="15.75" customHeight="1" x14ac:dyDescent="0.3">
      <c r="H631" s="71"/>
    </row>
    <row r="632" spans="8:8" ht="15.75" customHeight="1" x14ac:dyDescent="0.3">
      <c r="H632" s="71"/>
    </row>
    <row r="633" spans="8:8" ht="15.75" customHeight="1" x14ac:dyDescent="0.3">
      <c r="H633" s="71"/>
    </row>
    <row r="634" spans="8:8" ht="15.75" customHeight="1" x14ac:dyDescent="0.3">
      <c r="H634" s="71"/>
    </row>
    <row r="635" spans="8:8" ht="15.75" customHeight="1" x14ac:dyDescent="0.3">
      <c r="H635" s="71"/>
    </row>
    <row r="636" spans="8:8" ht="15.75" customHeight="1" x14ac:dyDescent="0.3">
      <c r="H636" s="71"/>
    </row>
    <row r="637" spans="8:8" ht="15.75" customHeight="1" x14ac:dyDescent="0.3">
      <c r="H637" s="71"/>
    </row>
    <row r="638" spans="8:8" ht="15.75" customHeight="1" x14ac:dyDescent="0.3">
      <c r="H638" s="71"/>
    </row>
    <row r="639" spans="8:8" ht="15.75" customHeight="1" x14ac:dyDescent="0.3">
      <c r="H639" s="71"/>
    </row>
    <row r="640" spans="8:8" ht="15.75" customHeight="1" x14ac:dyDescent="0.3">
      <c r="H640" s="71"/>
    </row>
    <row r="641" spans="8:8" ht="15.75" customHeight="1" x14ac:dyDescent="0.3">
      <c r="H641" s="71"/>
    </row>
    <row r="642" spans="8:8" ht="15.75" customHeight="1" x14ac:dyDescent="0.3">
      <c r="H642" s="71"/>
    </row>
    <row r="643" spans="8:8" ht="15.75" customHeight="1" x14ac:dyDescent="0.3">
      <c r="H643" s="71"/>
    </row>
    <row r="644" spans="8:8" ht="15.75" customHeight="1" x14ac:dyDescent="0.3">
      <c r="H644" s="71"/>
    </row>
    <row r="645" spans="8:8" ht="15.75" customHeight="1" x14ac:dyDescent="0.3">
      <c r="H645" s="71"/>
    </row>
    <row r="646" spans="8:8" ht="15.75" customHeight="1" x14ac:dyDescent="0.3">
      <c r="H646" s="71"/>
    </row>
    <row r="647" spans="8:8" ht="15.75" customHeight="1" x14ac:dyDescent="0.3">
      <c r="H647" s="71"/>
    </row>
    <row r="648" spans="8:8" ht="15.75" customHeight="1" x14ac:dyDescent="0.3">
      <c r="H648" s="71"/>
    </row>
    <row r="649" spans="8:8" ht="15.75" customHeight="1" x14ac:dyDescent="0.3">
      <c r="H649" s="71"/>
    </row>
    <row r="650" spans="8:8" ht="15.75" customHeight="1" x14ac:dyDescent="0.3">
      <c r="H650" s="71"/>
    </row>
    <row r="651" spans="8:8" ht="15.75" customHeight="1" x14ac:dyDescent="0.3">
      <c r="H651" s="71"/>
    </row>
    <row r="652" spans="8:8" ht="15.75" customHeight="1" x14ac:dyDescent="0.3">
      <c r="H652" s="71"/>
    </row>
    <row r="653" spans="8:8" ht="15.75" customHeight="1" x14ac:dyDescent="0.3">
      <c r="H653" s="71"/>
    </row>
    <row r="654" spans="8:8" ht="15.75" customHeight="1" x14ac:dyDescent="0.3">
      <c r="H654" s="71"/>
    </row>
    <row r="655" spans="8:8" ht="15.75" customHeight="1" x14ac:dyDescent="0.3">
      <c r="H655" s="71"/>
    </row>
    <row r="656" spans="8:8" ht="15.75" customHeight="1" x14ac:dyDescent="0.3">
      <c r="H656" s="71"/>
    </row>
    <row r="657" spans="8:8" ht="15.75" customHeight="1" x14ac:dyDescent="0.3">
      <c r="H657" s="71"/>
    </row>
    <row r="658" spans="8:8" ht="15.75" customHeight="1" x14ac:dyDescent="0.3">
      <c r="H658" s="71"/>
    </row>
    <row r="659" spans="8:8" ht="15.75" customHeight="1" x14ac:dyDescent="0.3">
      <c r="H659" s="71"/>
    </row>
    <row r="660" spans="8:8" ht="15.75" customHeight="1" x14ac:dyDescent="0.3">
      <c r="H660" s="71"/>
    </row>
    <row r="661" spans="8:8" ht="15.75" customHeight="1" x14ac:dyDescent="0.3">
      <c r="H661" s="71"/>
    </row>
    <row r="662" spans="8:8" ht="15.75" customHeight="1" x14ac:dyDescent="0.3">
      <c r="H662" s="71"/>
    </row>
    <row r="663" spans="8:8" ht="15.75" customHeight="1" x14ac:dyDescent="0.3">
      <c r="H663" s="71"/>
    </row>
    <row r="664" spans="8:8" ht="15.75" customHeight="1" x14ac:dyDescent="0.3">
      <c r="H664" s="71"/>
    </row>
    <row r="665" spans="8:8" ht="15.75" customHeight="1" x14ac:dyDescent="0.3">
      <c r="H665" s="71"/>
    </row>
    <row r="666" spans="8:8" ht="15.75" customHeight="1" x14ac:dyDescent="0.3">
      <c r="H666" s="71"/>
    </row>
    <row r="667" spans="8:8" ht="15.75" customHeight="1" x14ac:dyDescent="0.3">
      <c r="H667" s="71"/>
    </row>
    <row r="668" spans="8:8" ht="15.75" customHeight="1" x14ac:dyDescent="0.3">
      <c r="H668" s="71"/>
    </row>
    <row r="669" spans="8:8" ht="15.75" customHeight="1" x14ac:dyDescent="0.3">
      <c r="H669" s="71"/>
    </row>
    <row r="670" spans="8:8" ht="15.75" customHeight="1" x14ac:dyDescent="0.3">
      <c r="H670" s="71"/>
    </row>
    <row r="671" spans="8:8" ht="15.75" customHeight="1" x14ac:dyDescent="0.3">
      <c r="H671" s="71"/>
    </row>
    <row r="672" spans="8:8" ht="15.75" customHeight="1" x14ac:dyDescent="0.3">
      <c r="H672" s="71"/>
    </row>
    <row r="673" spans="8:8" ht="15.75" customHeight="1" x14ac:dyDescent="0.3">
      <c r="H673" s="71"/>
    </row>
    <row r="674" spans="8:8" ht="15.75" customHeight="1" x14ac:dyDescent="0.3">
      <c r="H674" s="71"/>
    </row>
    <row r="675" spans="8:8" ht="15.75" customHeight="1" x14ac:dyDescent="0.3">
      <c r="H675" s="71"/>
    </row>
    <row r="676" spans="8:8" ht="15.75" customHeight="1" x14ac:dyDescent="0.3">
      <c r="H676" s="71"/>
    </row>
    <row r="677" spans="8:8" ht="15.75" customHeight="1" x14ac:dyDescent="0.3">
      <c r="H677" s="71"/>
    </row>
    <row r="678" spans="8:8" ht="15.75" customHeight="1" x14ac:dyDescent="0.3">
      <c r="H678" s="71"/>
    </row>
    <row r="679" spans="8:8" ht="15.75" customHeight="1" x14ac:dyDescent="0.3">
      <c r="H679" s="71"/>
    </row>
    <row r="680" spans="8:8" ht="15.75" customHeight="1" x14ac:dyDescent="0.3">
      <c r="H680" s="71"/>
    </row>
    <row r="681" spans="8:8" ht="15.75" customHeight="1" x14ac:dyDescent="0.3">
      <c r="H681" s="71"/>
    </row>
    <row r="682" spans="8:8" ht="15.75" customHeight="1" x14ac:dyDescent="0.3">
      <c r="H682" s="71"/>
    </row>
    <row r="683" spans="8:8" ht="15.75" customHeight="1" x14ac:dyDescent="0.3">
      <c r="H683" s="71"/>
    </row>
    <row r="684" spans="8:8" ht="15.75" customHeight="1" x14ac:dyDescent="0.3">
      <c r="H684" s="71"/>
    </row>
    <row r="685" spans="8:8" ht="15.75" customHeight="1" x14ac:dyDescent="0.3">
      <c r="H685" s="71"/>
    </row>
    <row r="686" spans="8:8" ht="15.75" customHeight="1" x14ac:dyDescent="0.3">
      <c r="H686" s="71"/>
    </row>
    <row r="687" spans="8:8" ht="15.75" customHeight="1" x14ac:dyDescent="0.3">
      <c r="H687" s="71"/>
    </row>
    <row r="688" spans="8:8" ht="15.75" customHeight="1" x14ac:dyDescent="0.3">
      <c r="H688" s="71"/>
    </row>
    <row r="689" spans="8:8" ht="15.75" customHeight="1" x14ac:dyDescent="0.3">
      <c r="H689" s="71"/>
    </row>
    <row r="690" spans="8:8" ht="15.75" customHeight="1" x14ac:dyDescent="0.3">
      <c r="H690" s="71"/>
    </row>
    <row r="691" spans="8:8" ht="15.75" customHeight="1" x14ac:dyDescent="0.3">
      <c r="H691" s="71"/>
    </row>
    <row r="692" spans="8:8" ht="15.75" customHeight="1" x14ac:dyDescent="0.3">
      <c r="H692" s="71"/>
    </row>
    <row r="693" spans="8:8" ht="15.75" customHeight="1" x14ac:dyDescent="0.3">
      <c r="H693" s="71"/>
    </row>
    <row r="694" spans="8:8" ht="15.75" customHeight="1" x14ac:dyDescent="0.3">
      <c r="H694" s="71"/>
    </row>
    <row r="695" spans="8:8" ht="15.75" customHeight="1" x14ac:dyDescent="0.3">
      <c r="H695" s="71"/>
    </row>
    <row r="696" spans="8:8" ht="15.75" customHeight="1" x14ac:dyDescent="0.3">
      <c r="H696" s="71"/>
    </row>
    <row r="697" spans="8:8" ht="15.75" customHeight="1" x14ac:dyDescent="0.3">
      <c r="H697" s="71"/>
    </row>
    <row r="698" spans="8:8" ht="15.75" customHeight="1" x14ac:dyDescent="0.3">
      <c r="H698" s="71"/>
    </row>
    <row r="699" spans="8:8" ht="15.75" customHeight="1" x14ac:dyDescent="0.3">
      <c r="H699" s="71"/>
    </row>
    <row r="700" spans="8:8" ht="15.75" customHeight="1" x14ac:dyDescent="0.3">
      <c r="H700" s="71"/>
    </row>
    <row r="701" spans="8:8" ht="15.75" customHeight="1" x14ac:dyDescent="0.3">
      <c r="H701" s="71"/>
    </row>
    <row r="702" spans="8:8" ht="15.75" customHeight="1" x14ac:dyDescent="0.3">
      <c r="H702" s="71"/>
    </row>
    <row r="703" spans="8:8" ht="15.75" customHeight="1" x14ac:dyDescent="0.3">
      <c r="H703" s="71"/>
    </row>
    <row r="704" spans="8:8" ht="15.75" customHeight="1" x14ac:dyDescent="0.3">
      <c r="H704" s="71"/>
    </row>
    <row r="705" spans="8:8" ht="15.75" customHeight="1" x14ac:dyDescent="0.3">
      <c r="H705" s="71"/>
    </row>
    <row r="706" spans="8:8" ht="15.75" customHeight="1" x14ac:dyDescent="0.3">
      <c r="H706" s="71"/>
    </row>
    <row r="707" spans="8:8" ht="15.75" customHeight="1" x14ac:dyDescent="0.3">
      <c r="H707" s="71"/>
    </row>
    <row r="708" spans="8:8" ht="15.75" customHeight="1" x14ac:dyDescent="0.3">
      <c r="H708" s="71"/>
    </row>
    <row r="709" spans="8:8" ht="15.75" customHeight="1" x14ac:dyDescent="0.3">
      <c r="H709" s="71"/>
    </row>
    <row r="710" spans="8:8" ht="15.75" customHeight="1" x14ac:dyDescent="0.3">
      <c r="H710" s="71"/>
    </row>
    <row r="711" spans="8:8" ht="15.75" customHeight="1" x14ac:dyDescent="0.3">
      <c r="H711" s="71"/>
    </row>
    <row r="712" spans="8:8" ht="15.75" customHeight="1" x14ac:dyDescent="0.3">
      <c r="H712" s="71"/>
    </row>
    <row r="713" spans="8:8" ht="15.75" customHeight="1" x14ac:dyDescent="0.3">
      <c r="H713" s="71"/>
    </row>
    <row r="714" spans="8:8" ht="15.75" customHeight="1" x14ac:dyDescent="0.3">
      <c r="H714" s="71"/>
    </row>
    <row r="715" spans="8:8" ht="15.75" customHeight="1" x14ac:dyDescent="0.3">
      <c r="H715" s="71"/>
    </row>
    <row r="716" spans="8:8" ht="15.75" customHeight="1" x14ac:dyDescent="0.3">
      <c r="H716" s="71"/>
    </row>
    <row r="717" spans="8:8" ht="15.75" customHeight="1" x14ac:dyDescent="0.3">
      <c r="H717" s="71"/>
    </row>
    <row r="718" spans="8:8" ht="15.75" customHeight="1" x14ac:dyDescent="0.3">
      <c r="H718" s="71"/>
    </row>
    <row r="719" spans="8:8" ht="15.75" customHeight="1" x14ac:dyDescent="0.3">
      <c r="H719" s="71"/>
    </row>
    <row r="720" spans="8:8" ht="15.75" customHeight="1" x14ac:dyDescent="0.3">
      <c r="H720" s="71"/>
    </row>
    <row r="721" spans="8:8" ht="15.75" customHeight="1" x14ac:dyDescent="0.3">
      <c r="H721" s="71"/>
    </row>
    <row r="722" spans="8:8" ht="15.75" customHeight="1" x14ac:dyDescent="0.3">
      <c r="H722" s="71"/>
    </row>
    <row r="723" spans="8:8" ht="15.75" customHeight="1" x14ac:dyDescent="0.3">
      <c r="H723" s="71"/>
    </row>
    <row r="724" spans="8:8" ht="15.75" customHeight="1" x14ac:dyDescent="0.3">
      <c r="H724" s="71"/>
    </row>
    <row r="725" spans="8:8" ht="15.75" customHeight="1" x14ac:dyDescent="0.3">
      <c r="H725" s="71"/>
    </row>
    <row r="726" spans="8:8" ht="15.75" customHeight="1" x14ac:dyDescent="0.3">
      <c r="H726" s="71"/>
    </row>
    <row r="727" spans="8:8" ht="15.75" customHeight="1" x14ac:dyDescent="0.3">
      <c r="H727" s="71"/>
    </row>
    <row r="728" spans="8:8" ht="15.75" customHeight="1" x14ac:dyDescent="0.3">
      <c r="H728" s="71"/>
    </row>
    <row r="729" spans="8:8" ht="15.75" customHeight="1" x14ac:dyDescent="0.3">
      <c r="H729" s="71"/>
    </row>
    <row r="730" spans="8:8" ht="15.75" customHeight="1" x14ac:dyDescent="0.3">
      <c r="H730" s="71"/>
    </row>
    <row r="731" spans="8:8" ht="15.75" customHeight="1" x14ac:dyDescent="0.3">
      <c r="H731" s="71"/>
    </row>
    <row r="732" spans="8:8" ht="15.75" customHeight="1" x14ac:dyDescent="0.3">
      <c r="H732" s="71"/>
    </row>
    <row r="733" spans="8:8" ht="15.75" customHeight="1" x14ac:dyDescent="0.3">
      <c r="H733" s="71"/>
    </row>
    <row r="734" spans="8:8" ht="15.75" customHeight="1" x14ac:dyDescent="0.3">
      <c r="H734" s="71"/>
    </row>
    <row r="735" spans="8:8" ht="15.75" customHeight="1" x14ac:dyDescent="0.3">
      <c r="H735" s="71"/>
    </row>
    <row r="736" spans="8:8" ht="15.75" customHeight="1" x14ac:dyDescent="0.3">
      <c r="H736" s="71"/>
    </row>
    <row r="737" spans="8:8" ht="15.75" customHeight="1" x14ac:dyDescent="0.3">
      <c r="H737" s="71"/>
    </row>
    <row r="738" spans="8:8" ht="15.75" customHeight="1" x14ac:dyDescent="0.3">
      <c r="H738" s="71"/>
    </row>
    <row r="739" spans="8:8" ht="15.75" customHeight="1" x14ac:dyDescent="0.3">
      <c r="H739" s="71"/>
    </row>
    <row r="740" spans="8:8" ht="15.75" customHeight="1" x14ac:dyDescent="0.3">
      <c r="H740" s="71"/>
    </row>
    <row r="741" spans="8:8" ht="15.75" customHeight="1" x14ac:dyDescent="0.3">
      <c r="H741" s="71"/>
    </row>
    <row r="742" spans="8:8" ht="15.75" customHeight="1" x14ac:dyDescent="0.3">
      <c r="H742" s="71"/>
    </row>
    <row r="743" spans="8:8" ht="15.75" customHeight="1" x14ac:dyDescent="0.3">
      <c r="H743" s="71"/>
    </row>
    <row r="744" spans="8:8" ht="15.75" customHeight="1" x14ac:dyDescent="0.3">
      <c r="H744" s="71"/>
    </row>
    <row r="745" spans="8:8" ht="15.75" customHeight="1" x14ac:dyDescent="0.3">
      <c r="H745" s="71"/>
    </row>
    <row r="746" spans="8:8" ht="15.75" customHeight="1" x14ac:dyDescent="0.3">
      <c r="H746" s="71"/>
    </row>
    <row r="747" spans="8:8" ht="15.75" customHeight="1" x14ac:dyDescent="0.3">
      <c r="H747" s="71"/>
    </row>
    <row r="748" spans="8:8" ht="15.75" customHeight="1" x14ac:dyDescent="0.3">
      <c r="H748" s="71"/>
    </row>
    <row r="749" spans="8:8" ht="15.75" customHeight="1" x14ac:dyDescent="0.3">
      <c r="H749" s="71"/>
    </row>
    <row r="750" spans="8:8" ht="15.75" customHeight="1" x14ac:dyDescent="0.3">
      <c r="H750" s="71"/>
    </row>
    <row r="751" spans="8:8" ht="15.75" customHeight="1" x14ac:dyDescent="0.3">
      <c r="H751" s="71"/>
    </row>
    <row r="752" spans="8:8" ht="15.75" customHeight="1" x14ac:dyDescent="0.3">
      <c r="H752" s="71"/>
    </row>
    <row r="753" spans="8:8" ht="15.75" customHeight="1" x14ac:dyDescent="0.3">
      <c r="H753" s="71"/>
    </row>
    <row r="754" spans="8:8" ht="15.75" customHeight="1" x14ac:dyDescent="0.3">
      <c r="H754" s="71"/>
    </row>
    <row r="755" spans="8:8" ht="15.75" customHeight="1" x14ac:dyDescent="0.3">
      <c r="H755" s="71"/>
    </row>
    <row r="756" spans="8:8" ht="15.75" customHeight="1" x14ac:dyDescent="0.3">
      <c r="H756" s="71"/>
    </row>
    <row r="757" spans="8:8" ht="15.75" customHeight="1" x14ac:dyDescent="0.3">
      <c r="H757" s="71"/>
    </row>
    <row r="758" spans="8:8" ht="15.75" customHeight="1" x14ac:dyDescent="0.3">
      <c r="H758" s="71"/>
    </row>
    <row r="759" spans="8:8" ht="15.75" customHeight="1" x14ac:dyDescent="0.3">
      <c r="H759" s="71"/>
    </row>
    <row r="760" spans="8:8" ht="15.75" customHeight="1" x14ac:dyDescent="0.3">
      <c r="H760" s="71"/>
    </row>
    <row r="761" spans="8:8" ht="15.75" customHeight="1" x14ac:dyDescent="0.3">
      <c r="H761" s="71"/>
    </row>
    <row r="762" spans="8:8" ht="15.75" customHeight="1" x14ac:dyDescent="0.3">
      <c r="H762" s="71"/>
    </row>
    <row r="763" spans="8:8" ht="15.75" customHeight="1" x14ac:dyDescent="0.3">
      <c r="H763" s="71"/>
    </row>
    <row r="764" spans="8:8" ht="15.75" customHeight="1" x14ac:dyDescent="0.3">
      <c r="H764" s="71"/>
    </row>
    <row r="765" spans="8:8" ht="15.75" customHeight="1" x14ac:dyDescent="0.3">
      <c r="H765" s="71"/>
    </row>
    <row r="766" spans="8:8" ht="15.75" customHeight="1" x14ac:dyDescent="0.3">
      <c r="H766" s="71"/>
    </row>
    <row r="767" spans="8:8" ht="15.75" customHeight="1" x14ac:dyDescent="0.3">
      <c r="H767" s="71"/>
    </row>
    <row r="768" spans="8:8" ht="15.75" customHeight="1" x14ac:dyDescent="0.3">
      <c r="H768" s="71"/>
    </row>
    <row r="769" spans="8:8" ht="15.75" customHeight="1" x14ac:dyDescent="0.3">
      <c r="H769" s="71"/>
    </row>
    <row r="770" spans="8:8" ht="15.75" customHeight="1" x14ac:dyDescent="0.3">
      <c r="H770" s="71"/>
    </row>
    <row r="771" spans="8:8" ht="15.75" customHeight="1" x14ac:dyDescent="0.3">
      <c r="H771" s="71"/>
    </row>
    <row r="772" spans="8:8" ht="15.75" customHeight="1" x14ac:dyDescent="0.3">
      <c r="H772" s="71"/>
    </row>
    <row r="773" spans="8:8" ht="15.75" customHeight="1" x14ac:dyDescent="0.3">
      <c r="H773" s="71"/>
    </row>
    <row r="774" spans="8:8" ht="15.75" customHeight="1" x14ac:dyDescent="0.3">
      <c r="H774" s="71"/>
    </row>
    <row r="775" spans="8:8" ht="15.75" customHeight="1" x14ac:dyDescent="0.3">
      <c r="H775" s="71"/>
    </row>
    <row r="776" spans="8:8" ht="15.75" customHeight="1" x14ac:dyDescent="0.3">
      <c r="H776" s="71"/>
    </row>
    <row r="777" spans="8:8" ht="15.75" customHeight="1" x14ac:dyDescent="0.3">
      <c r="H777" s="71"/>
    </row>
    <row r="778" spans="8:8" ht="15.75" customHeight="1" x14ac:dyDescent="0.3">
      <c r="H778" s="71"/>
    </row>
    <row r="779" spans="8:8" ht="15.75" customHeight="1" x14ac:dyDescent="0.3">
      <c r="H779" s="71"/>
    </row>
    <row r="780" spans="8:8" ht="15.75" customHeight="1" x14ac:dyDescent="0.3">
      <c r="H780" s="71"/>
    </row>
    <row r="781" spans="8:8" ht="15.75" customHeight="1" x14ac:dyDescent="0.3">
      <c r="H781" s="71"/>
    </row>
    <row r="782" spans="8:8" ht="15.75" customHeight="1" x14ac:dyDescent="0.3">
      <c r="H782" s="71"/>
    </row>
    <row r="783" spans="8:8" ht="15.75" customHeight="1" x14ac:dyDescent="0.3">
      <c r="H783" s="71"/>
    </row>
    <row r="784" spans="8:8" ht="15.75" customHeight="1" x14ac:dyDescent="0.3">
      <c r="H784" s="71"/>
    </row>
    <row r="785" spans="8:8" ht="15.75" customHeight="1" x14ac:dyDescent="0.3">
      <c r="H785" s="71"/>
    </row>
    <row r="786" spans="8:8" ht="15.75" customHeight="1" x14ac:dyDescent="0.3">
      <c r="H786" s="71"/>
    </row>
    <row r="787" spans="8:8" ht="15.75" customHeight="1" x14ac:dyDescent="0.3">
      <c r="H787" s="71"/>
    </row>
    <row r="788" spans="8:8" ht="15.75" customHeight="1" x14ac:dyDescent="0.3">
      <c r="H788" s="71"/>
    </row>
    <row r="789" spans="8:8" ht="15.75" customHeight="1" x14ac:dyDescent="0.3">
      <c r="H789" s="71"/>
    </row>
    <row r="790" spans="8:8" ht="15.75" customHeight="1" x14ac:dyDescent="0.3">
      <c r="H790" s="71"/>
    </row>
    <row r="791" spans="8:8" ht="15.75" customHeight="1" x14ac:dyDescent="0.3">
      <c r="H791" s="71"/>
    </row>
    <row r="792" spans="8:8" ht="15.75" customHeight="1" x14ac:dyDescent="0.3">
      <c r="H792" s="71"/>
    </row>
    <row r="793" spans="8:8" ht="15.75" customHeight="1" x14ac:dyDescent="0.3">
      <c r="H793" s="71"/>
    </row>
    <row r="794" spans="8:8" ht="15.75" customHeight="1" x14ac:dyDescent="0.3">
      <c r="H794" s="71"/>
    </row>
    <row r="795" spans="8:8" ht="15.75" customHeight="1" x14ac:dyDescent="0.3">
      <c r="H795" s="71"/>
    </row>
    <row r="796" spans="8:8" ht="15.75" customHeight="1" x14ac:dyDescent="0.3">
      <c r="H796" s="71"/>
    </row>
    <row r="797" spans="8:8" ht="15.75" customHeight="1" x14ac:dyDescent="0.3">
      <c r="H797" s="71"/>
    </row>
    <row r="798" spans="8:8" ht="15.75" customHeight="1" x14ac:dyDescent="0.3">
      <c r="H798" s="71"/>
    </row>
    <row r="799" spans="8:8" ht="15.75" customHeight="1" x14ac:dyDescent="0.3">
      <c r="H799" s="71"/>
    </row>
    <row r="800" spans="8:8" ht="15.75" customHeight="1" x14ac:dyDescent="0.3">
      <c r="H800" s="71"/>
    </row>
    <row r="801" spans="8:8" ht="15.75" customHeight="1" x14ac:dyDescent="0.3">
      <c r="H801" s="71"/>
    </row>
    <row r="802" spans="8:8" ht="15.75" customHeight="1" x14ac:dyDescent="0.3">
      <c r="H802" s="71"/>
    </row>
    <row r="803" spans="8:8" ht="15.75" customHeight="1" x14ac:dyDescent="0.3">
      <c r="H803" s="71"/>
    </row>
    <row r="804" spans="8:8" ht="15.75" customHeight="1" x14ac:dyDescent="0.3">
      <c r="H804" s="71"/>
    </row>
    <row r="805" spans="8:8" ht="15.75" customHeight="1" x14ac:dyDescent="0.3">
      <c r="H805" s="71"/>
    </row>
    <row r="806" spans="8:8" ht="15.75" customHeight="1" x14ac:dyDescent="0.3">
      <c r="H806" s="71"/>
    </row>
    <row r="807" spans="8:8" ht="15.75" customHeight="1" x14ac:dyDescent="0.3">
      <c r="H807" s="71"/>
    </row>
    <row r="808" spans="8:8" ht="15.75" customHeight="1" x14ac:dyDescent="0.3">
      <c r="H808" s="71"/>
    </row>
    <row r="809" spans="8:8" ht="15.75" customHeight="1" x14ac:dyDescent="0.3">
      <c r="H809" s="71"/>
    </row>
    <row r="810" spans="8:8" ht="15.75" customHeight="1" x14ac:dyDescent="0.3">
      <c r="H810" s="71"/>
    </row>
    <row r="811" spans="8:8" ht="15.75" customHeight="1" x14ac:dyDescent="0.3">
      <c r="H811" s="71"/>
    </row>
    <row r="812" spans="8:8" ht="15.75" customHeight="1" x14ac:dyDescent="0.3">
      <c r="H812" s="71"/>
    </row>
    <row r="813" spans="8:8" ht="15.75" customHeight="1" x14ac:dyDescent="0.3">
      <c r="H813" s="71"/>
    </row>
    <row r="814" spans="8:8" ht="15.75" customHeight="1" x14ac:dyDescent="0.3">
      <c r="H814" s="71"/>
    </row>
    <row r="815" spans="8:8" ht="15.75" customHeight="1" x14ac:dyDescent="0.3">
      <c r="H815" s="71"/>
    </row>
    <row r="816" spans="8:8" ht="15.75" customHeight="1" x14ac:dyDescent="0.3">
      <c r="H816" s="71"/>
    </row>
    <row r="817" spans="8:8" ht="15.75" customHeight="1" x14ac:dyDescent="0.3">
      <c r="H817" s="71"/>
    </row>
    <row r="818" spans="8:8" ht="15.75" customHeight="1" x14ac:dyDescent="0.3">
      <c r="H818" s="71"/>
    </row>
    <row r="819" spans="8:8" ht="15.75" customHeight="1" x14ac:dyDescent="0.3">
      <c r="H819" s="71"/>
    </row>
    <row r="820" spans="8:8" ht="15.75" customHeight="1" x14ac:dyDescent="0.3">
      <c r="H820" s="71"/>
    </row>
    <row r="821" spans="8:8" ht="15.75" customHeight="1" x14ac:dyDescent="0.3">
      <c r="H821" s="71"/>
    </row>
    <row r="822" spans="8:8" ht="15.75" customHeight="1" x14ac:dyDescent="0.3">
      <c r="H822" s="71"/>
    </row>
    <row r="823" spans="8:8" ht="15.75" customHeight="1" x14ac:dyDescent="0.3">
      <c r="H823" s="71"/>
    </row>
    <row r="824" spans="8:8" ht="15.75" customHeight="1" x14ac:dyDescent="0.3">
      <c r="H824" s="71"/>
    </row>
    <row r="825" spans="8:8" ht="15.75" customHeight="1" x14ac:dyDescent="0.3">
      <c r="H825" s="71"/>
    </row>
    <row r="826" spans="8:8" ht="15.75" customHeight="1" x14ac:dyDescent="0.3">
      <c r="H826" s="71"/>
    </row>
    <row r="827" spans="8:8" ht="15.75" customHeight="1" x14ac:dyDescent="0.3">
      <c r="H827" s="71"/>
    </row>
    <row r="828" spans="8:8" ht="15.75" customHeight="1" x14ac:dyDescent="0.3">
      <c r="H828" s="71"/>
    </row>
    <row r="829" spans="8:8" ht="15.75" customHeight="1" x14ac:dyDescent="0.3">
      <c r="H829" s="71"/>
    </row>
    <row r="830" spans="8:8" ht="15.75" customHeight="1" x14ac:dyDescent="0.3">
      <c r="H830" s="71"/>
    </row>
    <row r="831" spans="8:8" ht="15.75" customHeight="1" x14ac:dyDescent="0.3">
      <c r="H831" s="71"/>
    </row>
    <row r="832" spans="8:8" ht="15.75" customHeight="1" x14ac:dyDescent="0.3">
      <c r="H832" s="71"/>
    </row>
    <row r="833" spans="8:8" ht="15.75" customHeight="1" x14ac:dyDescent="0.3">
      <c r="H833" s="71"/>
    </row>
    <row r="834" spans="8:8" ht="15.75" customHeight="1" x14ac:dyDescent="0.3">
      <c r="H834" s="71"/>
    </row>
    <row r="835" spans="8:8" ht="15.75" customHeight="1" x14ac:dyDescent="0.3">
      <c r="H835" s="71"/>
    </row>
    <row r="836" spans="8:8" ht="15.75" customHeight="1" x14ac:dyDescent="0.3">
      <c r="H836" s="71"/>
    </row>
    <row r="837" spans="8:8" ht="15.75" customHeight="1" x14ac:dyDescent="0.3">
      <c r="H837" s="71"/>
    </row>
    <row r="838" spans="8:8" ht="15.75" customHeight="1" x14ac:dyDescent="0.3">
      <c r="H838" s="71"/>
    </row>
    <row r="839" spans="8:8" ht="15.75" customHeight="1" x14ac:dyDescent="0.3">
      <c r="H839" s="71"/>
    </row>
    <row r="840" spans="8:8" ht="15.75" customHeight="1" x14ac:dyDescent="0.3">
      <c r="H840" s="71"/>
    </row>
    <row r="841" spans="8:8" ht="15.75" customHeight="1" x14ac:dyDescent="0.3">
      <c r="H841" s="71"/>
    </row>
    <row r="842" spans="8:8" ht="15.75" customHeight="1" x14ac:dyDescent="0.3">
      <c r="H842" s="71"/>
    </row>
    <row r="843" spans="8:8" ht="15.75" customHeight="1" x14ac:dyDescent="0.3"/>
  </sheetData>
  <dataConsolidate link="1"/>
  <mergeCells count="43">
    <mergeCell ref="H81:H82"/>
    <mergeCell ref="I81:I82"/>
    <mergeCell ref="J81:J82"/>
    <mergeCell ref="I97:I99"/>
    <mergeCell ref="G97:H99"/>
    <mergeCell ref="J98:J99"/>
    <mergeCell ref="B6:C7"/>
    <mergeCell ref="D6:J7"/>
    <mergeCell ref="B8:J8"/>
    <mergeCell ref="B10:J10"/>
    <mergeCell ref="B74:J74"/>
    <mergeCell ref="B61:F61"/>
    <mergeCell ref="B62:F62"/>
    <mergeCell ref="B63:F63"/>
    <mergeCell ref="B64:F64"/>
    <mergeCell ref="B65:F65"/>
    <mergeCell ref="B67:I67"/>
    <mergeCell ref="B69:J69"/>
    <mergeCell ref="B70:F70"/>
    <mergeCell ref="B71:F71"/>
    <mergeCell ref="B72:I72"/>
    <mergeCell ref="B60:F60"/>
    <mergeCell ref="B1:J1"/>
    <mergeCell ref="B2:J4"/>
    <mergeCell ref="B5:C5"/>
    <mergeCell ref="D5:E5"/>
    <mergeCell ref="F5:H5"/>
    <mergeCell ref="B56:I56"/>
    <mergeCell ref="B58:J58"/>
    <mergeCell ref="B59:F59"/>
    <mergeCell ref="E111:H111"/>
    <mergeCell ref="E101:G101"/>
    <mergeCell ref="H96:I96"/>
    <mergeCell ref="B75:F75"/>
    <mergeCell ref="B78:H78"/>
    <mergeCell ref="B80:J80"/>
    <mergeCell ref="B81:G81"/>
    <mergeCell ref="B82:G82"/>
    <mergeCell ref="B92:J92"/>
    <mergeCell ref="G95:I95"/>
    <mergeCell ref="B90:I90"/>
    <mergeCell ref="B94:H94"/>
    <mergeCell ref="B96:D96"/>
  </mergeCells>
  <phoneticPr fontId="3" type="noConversion"/>
  <conditionalFormatting sqref="J98:J99">
    <cfRule type="cellIs" dxfId="1" priority="1" operator="greaterThanOrEqual">
      <formula>0.25</formula>
    </cfRule>
    <cfRule type="cellIs" dxfId="0" priority="2" operator="lessThan">
      <formula>0.25</formula>
    </cfRule>
  </conditionalFormatting>
  <dataValidations count="2">
    <dataValidation type="list" allowBlank="1" showInputMessage="1" showErrorMessage="1" sqref="F96" xr:uid="{89763A96-F8D9-4797-BA15-C73DF8A03BA8}">
      <formula1>"Imediato,30 dias, 60 dias, 90 dias"</formula1>
    </dataValidation>
    <dataValidation type="list" allowBlank="1" showInputMessage="1" showErrorMessage="1" sqref="E76" xr:uid="{E5803973-F4BB-4BF4-AE30-3B53129260CA}">
      <formula1>$L$85:$L$87</formula1>
    </dataValidation>
  </dataValidations>
  <pageMargins left="0.7" right="0.7" top="0.75" bottom="0.75" header="0" footer="0"/>
  <pageSetup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33958-B339-4094-8504-41999C26618C}">
  <dimension ref="D4:E10"/>
  <sheetViews>
    <sheetView showGridLines="0" workbookViewId="0">
      <selection activeCell="D4" sqref="D4:E10"/>
    </sheetView>
  </sheetViews>
  <sheetFormatPr defaultRowHeight="14.4" x14ac:dyDescent="0.3"/>
  <cols>
    <col min="4" max="4" width="17.88671875" bestFit="1" customWidth="1"/>
    <col min="5" max="5" width="34.88671875" bestFit="1" customWidth="1"/>
  </cols>
  <sheetData>
    <row r="4" spans="4:5" x14ac:dyDescent="0.3">
      <c r="D4" s="736" t="s">
        <v>345</v>
      </c>
      <c r="E4" s="736"/>
    </row>
    <row r="5" spans="4:5" x14ac:dyDescent="0.3">
      <c r="D5" s="128" t="s">
        <v>179</v>
      </c>
      <c r="E5" s="128" t="s">
        <v>346</v>
      </c>
    </row>
    <row r="6" spans="4:5" x14ac:dyDescent="0.3">
      <c r="D6" s="128" t="s">
        <v>347</v>
      </c>
      <c r="E6" s="128" t="s">
        <v>348</v>
      </c>
    </row>
    <row r="7" spans="4:5" x14ac:dyDescent="0.3">
      <c r="D7" s="128" t="s">
        <v>349</v>
      </c>
      <c r="E7" s="128" t="s">
        <v>350</v>
      </c>
    </row>
    <row r="8" spans="4:5" x14ac:dyDescent="0.3">
      <c r="D8" s="128" t="s">
        <v>351</v>
      </c>
      <c r="E8" s="128" t="s">
        <v>352</v>
      </c>
    </row>
    <row r="9" spans="4:5" x14ac:dyDescent="0.3">
      <c r="D9" s="128"/>
      <c r="E9" s="128"/>
    </row>
    <row r="10" spans="4:5" x14ac:dyDescent="0.3">
      <c r="D10" s="128"/>
      <c r="E10" s="128"/>
    </row>
  </sheetData>
  <mergeCells count="1">
    <mergeCell ref="D4:E4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73C1D-CD4B-4F48-B53A-0C620B268592}">
  <sheetPr codeName="Planilha6"/>
  <dimension ref="B2:K17"/>
  <sheetViews>
    <sheetView showGridLines="0" workbookViewId="0">
      <selection activeCell="J28" sqref="J28"/>
    </sheetView>
  </sheetViews>
  <sheetFormatPr defaultRowHeight="14.4" x14ac:dyDescent="0.3"/>
  <cols>
    <col min="2" max="2" width="19.5546875" customWidth="1"/>
    <col min="3" max="3" width="8.88671875" style="85"/>
    <col min="4" max="4" width="16.6640625" style="108" bestFit="1" customWidth="1"/>
    <col min="5" max="5" width="27.88671875" customWidth="1"/>
    <col min="6" max="6" width="4.88671875" customWidth="1"/>
    <col min="7" max="7" width="16.88671875" style="108" customWidth="1"/>
    <col min="9" max="9" width="16.6640625" style="108" bestFit="1" customWidth="1"/>
    <col min="10" max="10" width="25.88671875" customWidth="1"/>
  </cols>
  <sheetData>
    <row r="2" spans="2:11" ht="15" thickBot="1" x14ac:dyDescent="0.35"/>
    <row r="3" spans="2:11" ht="15" thickBot="1" x14ac:dyDescent="0.35">
      <c r="B3" s="820" t="s">
        <v>211</v>
      </c>
      <c r="C3" s="821"/>
      <c r="D3" s="821"/>
      <c r="E3" s="822"/>
      <c r="G3" s="820" t="s">
        <v>210</v>
      </c>
      <c r="H3" s="821"/>
      <c r="I3" s="821"/>
      <c r="J3" s="822"/>
    </row>
    <row r="4" spans="2:11" ht="15" thickBot="1" x14ac:dyDescent="0.35">
      <c r="B4" s="161" t="s">
        <v>219</v>
      </c>
      <c r="C4" s="166" t="s">
        <v>223</v>
      </c>
      <c r="D4" s="167" t="s">
        <v>224</v>
      </c>
      <c r="E4" s="168" t="s">
        <v>225</v>
      </c>
      <c r="G4" s="161" t="s">
        <v>219</v>
      </c>
      <c r="H4" s="166" t="s">
        <v>223</v>
      </c>
      <c r="I4" s="167" t="s">
        <v>224</v>
      </c>
      <c r="J4" s="168" t="s">
        <v>225</v>
      </c>
    </row>
    <row r="5" spans="2:11" x14ac:dyDescent="0.3">
      <c r="B5" s="162">
        <v>100000</v>
      </c>
      <c r="C5" s="163">
        <v>0.32</v>
      </c>
      <c r="D5" s="164">
        <f>B5*C5</f>
        <v>32000</v>
      </c>
      <c r="E5" s="165" t="s">
        <v>203</v>
      </c>
      <c r="F5" s="15"/>
      <c r="G5" s="162">
        <v>100000</v>
      </c>
      <c r="H5" s="169">
        <v>0.08</v>
      </c>
      <c r="I5" s="164">
        <f>G5*H5</f>
        <v>8000</v>
      </c>
      <c r="J5" s="165" t="s">
        <v>206</v>
      </c>
    </row>
    <row r="6" spans="2:11" x14ac:dyDescent="0.3">
      <c r="B6" s="145"/>
      <c r="C6" s="131">
        <v>0.09</v>
      </c>
      <c r="D6" s="132">
        <f>D5*C6</f>
        <v>2880</v>
      </c>
      <c r="E6" s="144" t="s">
        <v>204</v>
      </c>
      <c r="F6" s="15"/>
      <c r="G6" s="155"/>
      <c r="H6" s="139">
        <v>0.12</v>
      </c>
      <c r="I6" s="132">
        <f>G5*H6</f>
        <v>12000</v>
      </c>
      <c r="J6" s="144" t="s">
        <v>207</v>
      </c>
    </row>
    <row r="7" spans="2:11" x14ac:dyDescent="0.3">
      <c r="B7" s="145"/>
      <c r="C7" s="131">
        <v>0.15</v>
      </c>
      <c r="D7" s="132">
        <f>D5*C7</f>
        <v>4800</v>
      </c>
      <c r="E7" s="144" t="s">
        <v>205</v>
      </c>
      <c r="F7" s="15"/>
      <c r="G7" s="155"/>
      <c r="H7" s="139">
        <v>0.15</v>
      </c>
      <c r="I7" s="132">
        <f>I5*H7</f>
        <v>1200</v>
      </c>
      <c r="J7" s="144" t="s">
        <v>208</v>
      </c>
    </row>
    <row r="8" spans="2:11" x14ac:dyDescent="0.3">
      <c r="B8" s="145"/>
      <c r="C8" s="133">
        <v>3.6499999999999998E-2</v>
      </c>
      <c r="D8" s="132">
        <f>C8*B5</f>
        <v>3649.9999999999995</v>
      </c>
      <c r="E8" s="144" t="s">
        <v>221</v>
      </c>
      <c r="F8" s="15"/>
      <c r="G8" s="155"/>
      <c r="H8" s="139">
        <v>0.09</v>
      </c>
      <c r="I8" s="132">
        <f>I6*H8</f>
        <v>1080</v>
      </c>
      <c r="J8" s="144" t="s">
        <v>209</v>
      </c>
    </row>
    <row r="9" spans="2:11" x14ac:dyDescent="0.3">
      <c r="B9" s="145"/>
      <c r="C9" s="134"/>
      <c r="D9" s="135">
        <f>SUM(D6:D8)/B5</f>
        <v>0.1133</v>
      </c>
      <c r="E9" s="144"/>
      <c r="F9" s="15"/>
      <c r="G9" s="155"/>
      <c r="H9" s="140">
        <v>3.6499999999999998E-2</v>
      </c>
      <c r="I9" s="132">
        <f>H9*G5</f>
        <v>3649.9999999999995</v>
      </c>
      <c r="J9" s="144" t="s">
        <v>221</v>
      </c>
    </row>
    <row r="10" spans="2:11" x14ac:dyDescent="0.3">
      <c r="B10" s="146"/>
      <c r="C10" s="137"/>
      <c r="D10" s="138"/>
      <c r="E10" s="147"/>
      <c r="F10" s="3"/>
      <c r="G10" s="155"/>
      <c r="H10" s="141"/>
      <c r="I10" s="135">
        <f>SUM(I7:I9)/G5</f>
        <v>5.9299999999999999E-2</v>
      </c>
      <c r="J10" s="143"/>
    </row>
    <row r="11" spans="2:11" x14ac:dyDescent="0.3">
      <c r="B11" s="142"/>
      <c r="C11" s="129"/>
      <c r="D11" s="130" t="s">
        <v>212</v>
      </c>
      <c r="E11" s="148">
        <v>0.03</v>
      </c>
      <c r="G11" s="156"/>
      <c r="H11" s="136"/>
      <c r="I11" s="138"/>
      <c r="J11" s="143"/>
      <c r="K11" s="109"/>
    </row>
    <row r="12" spans="2:11" x14ac:dyDescent="0.3">
      <c r="B12" s="142"/>
      <c r="C12" s="129"/>
      <c r="D12" s="130" t="s">
        <v>213</v>
      </c>
      <c r="E12" s="148">
        <v>0.11</v>
      </c>
      <c r="G12" s="154"/>
      <c r="H12" s="128"/>
      <c r="I12" s="130" t="s">
        <v>212</v>
      </c>
      <c r="J12" s="148">
        <v>0.03</v>
      </c>
    </row>
    <row r="13" spans="2:11" x14ac:dyDescent="0.3">
      <c r="B13" s="142"/>
      <c r="C13" s="129"/>
      <c r="D13" s="130"/>
      <c r="E13" s="143"/>
      <c r="G13" s="154"/>
      <c r="H13" s="128"/>
      <c r="I13" s="130" t="s">
        <v>213</v>
      </c>
      <c r="J13" s="148">
        <v>0.11</v>
      </c>
    </row>
    <row r="14" spans="2:11" x14ac:dyDescent="0.3">
      <c r="B14" s="142"/>
      <c r="C14" s="129"/>
      <c r="D14" s="130"/>
      <c r="E14" s="143"/>
      <c r="G14" s="154"/>
      <c r="H14" s="128"/>
      <c r="I14" s="130"/>
      <c r="J14" s="143"/>
    </row>
    <row r="15" spans="2:11" ht="15" thickBot="1" x14ac:dyDescent="0.35">
      <c r="B15" s="149"/>
      <c r="C15" s="151"/>
      <c r="D15" s="152" t="s">
        <v>220</v>
      </c>
      <c r="E15" s="153">
        <f>D9+E11+E12</f>
        <v>0.25329999999999997</v>
      </c>
      <c r="G15" s="157"/>
      <c r="H15" s="150"/>
      <c r="I15" s="152" t="s">
        <v>220</v>
      </c>
      <c r="J15" s="153">
        <f>I10+J12+J13</f>
        <v>0.19929999999999998</v>
      </c>
    </row>
    <row r="16" spans="2:11" ht="52.95" customHeight="1" thickBot="1" x14ac:dyDescent="0.35">
      <c r="D16" s="159" t="s">
        <v>222</v>
      </c>
      <c r="E16" s="160">
        <f>B5*E15</f>
        <v>25329.999999999996</v>
      </c>
      <c r="F16" s="158"/>
      <c r="G16" s="86"/>
      <c r="H16" s="158"/>
      <c r="I16" s="159" t="s">
        <v>222</v>
      </c>
      <c r="J16" s="160">
        <f>G5*J15</f>
        <v>19929.999999999996</v>
      </c>
    </row>
    <row r="17" spans="2:2" x14ac:dyDescent="0.3">
      <c r="B17" t="s">
        <v>214</v>
      </c>
    </row>
  </sheetData>
  <mergeCells count="2">
    <mergeCell ref="B3:E3"/>
    <mergeCell ref="G3:J3"/>
  </mergeCells>
  <pageMargins left="0.511811024" right="0.511811024" top="0.78740157499999996" bottom="0.78740157499999996" header="0.31496062000000002" footer="0.3149606200000000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12</vt:i4>
      </vt:variant>
    </vt:vector>
  </HeadingPairs>
  <TitlesOfParts>
    <vt:vector size="19" baseType="lpstr">
      <vt:lpstr>Planilha2</vt:lpstr>
      <vt:lpstr>FORMULÁRIO</vt:lpstr>
      <vt:lpstr>SERVIÇOS</vt:lpstr>
      <vt:lpstr>COMISSÃO</vt:lpstr>
      <vt:lpstr>PRODUTOS</vt:lpstr>
      <vt:lpstr>Planilha1</vt:lpstr>
      <vt:lpstr>BASE IMPOSTO</vt:lpstr>
      <vt:lpstr>COMISSÃO_MATERIAIS</vt:lpstr>
      <vt:lpstr>COMISSÃO_SERVIÇOS</vt:lpstr>
      <vt:lpstr>fator_margem_material</vt:lpstr>
      <vt:lpstr>fator_margem_serviço</vt:lpstr>
      <vt:lpstr>lista_materiais</vt:lpstr>
      <vt:lpstr>margem_lucro_material</vt:lpstr>
      <vt:lpstr>margem_lucro_serviço</vt:lpstr>
      <vt:lpstr>perc_margem_material</vt:lpstr>
      <vt:lpstr>perc_margem_serviço</vt:lpstr>
      <vt:lpstr>tipo_filtro_colab</vt:lpstr>
      <vt:lpstr>título_colab</vt:lpstr>
      <vt:lpstr>valor_total_proposta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alonp</dc:creator>
  <cp:lastModifiedBy>Rogério Possati Dalbello</cp:lastModifiedBy>
  <dcterms:created xsi:type="dcterms:W3CDTF">2019-11-29T15:58:26Z</dcterms:created>
  <dcterms:modified xsi:type="dcterms:W3CDTF">2025-07-30T12:37:42Z</dcterms:modified>
</cp:coreProperties>
</file>